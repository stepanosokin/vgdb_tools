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\QGIS\vgdb_tools\rosnedra_forecast\"/>
    </mc:Choice>
  </mc:AlternateContent>
  <xr:revisionPtr revIDLastSave="0" documentId="13_ncr:1_{46AC0590-74F5-41FC-8CEC-0A48E53E7FC2}" xr6:coauthVersionLast="47" xr6:coauthVersionMax="47" xr10:uidLastSave="{00000000-0000-0000-0000-000000000000}"/>
  <bookViews>
    <workbookView xWindow="1905" yWindow="1905" windowWidth="28800" windowHeight="15285" activeTab="1" xr2:uid="{00000000-000D-0000-FFFF-FFFF00000000}"/>
  </bookViews>
  <sheets>
    <sheet name="Get Started with Python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4" i="1"/>
  <c r="H3" i="1"/>
  <c r="H5" i="2" a="1"/>
  <c r="H9" i="2" a="1"/>
  <c r="H5" i="2" l="1"/>
  <c r="H9" i="2"/>
  <c r="H13" i="2" a="1"/>
  <c r="H13" i="2" l="1"/>
  <c r="H18" i="2" a="1"/>
  <c r="H18" i="2" l="1"/>
  <c r="H27" i="2" a="1"/>
  <c r="H27" i="2" l="1"/>
  <c r="E3" i="1" a="1"/>
  <c r="E3" i="1" l="1"/>
  <c r="E4" i="1" a="1"/>
  <c r="E4" i="1" l="1"/>
  <c r="E5" i="1" a="1"/>
  <c r="E5" i="1" l="1"/>
  <c r="E6" i="1" a="1"/>
  <c r="E6" i="1" l="1"/>
  <c r="E7" i="1" a="1"/>
  <c r="E7" i="1" l="1"/>
  <c r="E8" i="1" a="1"/>
  <c r="E8" i="1" l="1"/>
  <c r="E9" i="1" a="1"/>
  <c r="E9" i="1" l="1"/>
  <c r="E10" i="1" a="1"/>
  <c r="E10" i="1" l="1"/>
  <c r="E11" i="1" a="1"/>
  <c r="E11" i="1" l="1"/>
  <c r="E12" i="1" a="1"/>
  <c r="E12" i="1" l="1"/>
  <c r="E13" i="1" a="1"/>
  <c r="E13" i="1" l="1"/>
  <c r="E14" i="1" a="1"/>
  <c r="E14" i="1" l="1"/>
  <c r="E15" i="1" a="1"/>
  <c r="E15" i="1" l="1"/>
  <c r="E16" i="1" a="1"/>
  <c r="E16" i="1" l="1"/>
  <c r="E17" i="1" a="1"/>
  <c r="E17" i="1" l="1"/>
  <c r="E18" i="1" a="1"/>
  <c r="E18" i="1" l="1"/>
  <c r="E19" i="1" a="1"/>
  <c r="E19" i="1" l="1"/>
  <c r="E20" i="1" a="1"/>
  <c r="E20" i="1" l="1"/>
  <c r="E21" i="1" a="1"/>
  <c r="E21" i="1" l="1"/>
  <c r="E22" i="1" a="1"/>
  <c r="E22" i="1" l="1"/>
  <c r="E23" i="1" a="1"/>
  <c r="E23" i="1" l="1"/>
  <c r="E24" i="1" a="1"/>
  <c r="E24" i="1" l="1"/>
  <c r="E25" i="1" a="1"/>
  <c r="E25" i="1" l="1"/>
  <c r="E26" i="1" a="1"/>
  <c r="E26" i="1" l="1"/>
  <c r="E27" i="1" a="1"/>
  <c r="E27" i="1" l="1"/>
  <c r="E28" i="1" a="1"/>
  <c r="E28" i="1" l="1"/>
  <c r="E29" i="1" a="1"/>
  <c r="E29" i="1" l="1"/>
  <c r="E30" i="1" a="1"/>
  <c r="E30" i="1" l="1"/>
  <c r="E31" i="1" a="1"/>
  <c r="E31" i="1" l="1"/>
  <c r="E32" i="1" a="1"/>
  <c r="E32" i="1" l="1"/>
  <c r="E33" i="1" a="1"/>
  <c r="E33" i="1" l="1"/>
  <c r="E34" i="1" a="1"/>
  <c r="E34" i="1" l="1"/>
  <c r="E35" i="1" a="1"/>
  <c r="E35" i="1" l="1"/>
  <c r="E36" i="1" a="1"/>
  <c r="E36" i="1" l="1"/>
  <c r="E37" i="1" a="1"/>
  <c r="E37" i="1" l="1"/>
  <c r="E38" i="1" a="1"/>
  <c r="E38" i="1" l="1"/>
  <c r="E39" i="1" a="1"/>
  <c r="E39" i="1" l="1"/>
  <c r="E40" i="1" a="1"/>
  <c r="E40" i="1" l="1"/>
  <c r="E41" i="1" a="1"/>
  <c r="E41" i="1" l="1"/>
  <c r="E42" i="1" a="1"/>
  <c r="E42" i="1" l="1"/>
  <c r="E43" i="1" a="1"/>
  <c r="E43" i="1" l="1"/>
  <c r="E44" i="1" a="1"/>
  <c r="E44" i="1" l="1"/>
  <c r="E45" i="1" a="1"/>
  <c r="E45" i="1" l="1"/>
  <c r="E46" i="1" a="1"/>
  <c r="E46" i="1" l="1"/>
  <c r="E47" i="1" a="1"/>
  <c r="E47" i="1" l="1"/>
  <c r="E48" i="1" a="1"/>
  <c r="E48" i="1" l="1"/>
  <c r="E49" i="1" a="1"/>
  <c r="E49" i="1" l="1"/>
  <c r="E50" i="1" a="1"/>
  <c r="E50" i="1" l="1"/>
  <c r="E51" i="1" a="1"/>
  <c r="E51" i="1" l="1"/>
  <c r="E52" i="1" a="1"/>
  <c r="E52" i="1" l="1"/>
  <c r="E53" i="1" a="1"/>
  <c r="E53" i="1" l="1"/>
  <c r="E54" i="1" a="1"/>
  <c r="E54" i="1" l="1"/>
  <c r="E55" i="1" a="1"/>
  <c r="E55" i="1" l="1"/>
  <c r="E56" i="1" a="1"/>
  <c r="E56" i="1" l="1"/>
  <c r="E57" i="1" a="1"/>
  <c r="E57" i="1" l="1"/>
  <c r="E58" i="1" a="1"/>
  <c r="E58" i="1" l="1"/>
  <c r="E59" i="1" a="1"/>
  <c r="E59" i="1" l="1"/>
  <c r="E60" i="1" a="1"/>
  <c r="E60" i="1" l="1"/>
  <c r="E61" i="1" a="1"/>
  <c r="E61" i="1" l="1"/>
  <c r="E62" i="1" a="1"/>
  <c r="E62" i="1" l="1"/>
  <c r="E63" i="1" a="1"/>
  <c r="E63" i="1" l="1"/>
  <c r="E64" i="1" a="1"/>
  <c r="E64" i="1" l="1"/>
  <c r="E65" i="1" a="1"/>
  <c r="E65" i="1" l="1"/>
  <c r="E66" i="1" a="1"/>
  <c r="E66" i="1" l="1"/>
  <c r="E67" i="1" a="1"/>
  <c r="E67" i="1" l="1"/>
  <c r="E68" i="1" a="1"/>
  <c r="E68" i="1" l="1"/>
  <c r="E69" i="1" a="1"/>
  <c r="E69" i="1" l="1"/>
  <c r="E70" i="1" a="1"/>
  <c r="E70" i="1" l="1"/>
  <c r="E71" i="1" a="1"/>
  <c r="E71" i="1" l="1"/>
  <c r="E72" i="1" a="1"/>
  <c r="E72" i="1" l="1"/>
  <c r="E73" i="1" a="1"/>
  <c r="E73" i="1" l="1"/>
  <c r="E74" i="1" a="1"/>
  <c r="E7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6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</futureMetadata>
  <cellMetadata count="1">
    <bk>
      <rc t="1" v="0"/>
    </bk>
  </cellMetadata>
  <valueMetadata count="7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sample_dataframe = xl(%P2%, headers=True)</code>
    </pythonScript>
    <pythonScript>
      <code>sample_dataframe.describe()</code>
    </pythonScript>
    <pythonScript>
      <code>series = sample_dataframe.groupby(["species"]).petal_width.mean()</code>
    </pythonScript>
    <pythonScript>
      <code>species = ["setosa", "versicolor", "virginica"]
average_petal_width = sample_dataframe.groupby(["species"]).petal_width.mean()
plt.bar(species, average_petal_width)
plt.xlabel("Species")
plt.ylabel("Average petal width")
plt.title("Average petal width by species")</code>
    </pythonScript>
    <pythonScript>
      <code>pairplot = sns.pairplot(sample_dataframe, hue="species", palette="husl")</code>
    </pythonScript>
    <pythonScript>
      <code xml:space="preserve">import re, json
def parse_resources(text):    
    templ = r''
    resdict = {
        r'нефт.?': 'oil', 
        r'газ.?': 'gas', 
        r'конденсат.?': 'cond'
        }
    catlist = [
        'A', 'B1', 'B2', 'C1', 'C2', 'D0', 'Dл', 'D1', 'D2'
    ]
    for k, v in resdict.items():
        if re.search(fr'{k}', text, re.I|re.S):
            templ += fr'(?P&lt;{v}name&gt;{k}(\s*\(?извл\.?\)?)?)(?P&lt;{v}&gt;.*)'
    # if re.search(r'нефть', text, re.I|re.S):
    #     templ += r'(?P&lt;oilname&gt;нефть(\s*\(?извл\.?\)?)?)(?P&lt;oilval&gt;.*)'
    # if re.search(r'газ', text, re.I|re.S):
    #     templ += r'(?P&lt;gasname&gt;газ)(?P&lt;gasval&gt;.*)'
    # if re.search(r'конденсат', text, re.I|re.S):
    #     templ += r'(?P&lt;condname&gt;конденсат)(?P&lt;condval&gt;.*)'
    match1 = re.search(templ, text, re.I|re.S)
    if match1:
        dict1 = match1.groupdict()
        def parse_resvalues(txt):
            SUB = str.maketrans( "₀₁₂₃₄₅₆₇₈₉", "0123456789")
            SUP = str.maketrans("⁰¹²³⁴⁵⁶⁷⁸⁹", "0123456789")
            txt = txt.translate(SUB)
            txt = txt.translate(SUP)
            ruseng = str.maketrans( "АВСД", "ABCD")
            txt = txt.translate(ruseng)
            tmpl = r''
            for cat in catlist:
                # if re.search(fr'^ ?{cat}', txt, re.M):
                if re.search(fr' ?{cat}', txt, re.M):                    
                    # tmpl += fr'.*^.*(?P&lt;{cat}catname&gt;{cat}) *[-–] *(?P&lt;{cat}catvalue&gt;.+$)'
                    tmpl += fr'.*(?P&lt;{cat}catname&gt;{cat}) *[-–] *(?P&lt;{cat}catvalue&gt;.+)'
            mtch1 = re.search(tmpl, txt, re.M|re.S)
            if mtch1:
                return mtch1.groupdict()
            else:
                return None
        dict2 = {}
        for k, v in dict1.items():
            # if k in ['oilval', 'gasval', 'condval']:
            if k in resdict.values():
                parsed_v = parse_resvalues(v)
                if parsed_v:
                    dict2[k] = parsed_v
        if dict2:
            dict2 = {k: {k2: v2.replace('\n', '').strip() for k2, v2 in v.items()} for k, v in dict2.items()}
            for k, v in dict2.items():
                for k2, v2 in v.items():
                    if 'catvalue' in k2:
                        tup = None
                        # tmpl = r'(\d+[,\.]\d+) ?(\w+\.? *\w+\.?)'
                        # tmpl = r'(\d+[,\.]?\d*) ?(\w+\.? *\w+\.?)'
                        # tmpl = r'(\d+[,\.]?\d*) *(\w+\.? *\w+\.?)'
                        tmpl = r'(\d+[,\.]? ?\d*) *(\w+\.? *\w+\.?)'
                        match = re.search(tmpl, v2)
                        if match:
                            tup = tuple(match.groups())
                        if tup:
                            tup = (float(tup[0].replace(',', '.').replace(' ', '')), tup[1])
                            if re.search(r'тыс\.? ?т\.?', tup[1], re.I) and k in ['oil', 'cond']:
                                tup = (tup[0] / 1000, tup[1].replace('тыс', 'млн'))
                            if re.search(r'млн|миллион', tup[1], re.I) and k == 'gas':
                                tup = (tup[0] / 1000, tup[1].replace('млн', 'млрд').replace('миллион', 'млрд'))
                            dict2[k][k2] = tup
                        pass
            dict2 = {k: {k2.replace('catvalue', ''): v2 for k2, v2 in v.items() if 'catvalue' in k2} for k, v in dict2.items()}
            return dict2
    return None
json.dumps(parse_resources(xl(%P2%)), ensure_ascii=False)
</code>
    </pythonScript>
    <pythonScript>
      <code xml:space="preserve">import re, json
def parse_resources(text):    
    templ = r''
    resdict = {
        r'нефт.?': 'oil', 
        r'газ.?': 'gas', 
        r'конденсат.?': 'cond'
        }
    catlist = [
        'AB1', 'B2', 'C1', 'C2', 'D0', 'Dл', 'D1', 'D2'
    ]
    for k, v in resdict.items():
        if re.search(fr'{k}', text, re.I|re.S):
            templ += fr'(?P&lt;{v}name&gt;{k}(\s*\(?извл\.?\)?)?)(?P&lt;{v}&gt;.*)'
    # if re.search(r'нефть', text, re.I|re.S):
    #     templ += r'(?P&lt;oilname&gt;нефть(\s*\(?извл\.?\)?)?)(?P&lt;oilval&gt;.*)'
    # if re.search(r'газ', text, re.I|re.S):
    #     templ += r'(?P&lt;gasname&gt;газ)(?P&lt;gasval&gt;.*)'
    # if re.search(r'конденсат', text, re.I|re.S):
    #     templ += r'(?P&lt;condname&gt;конденсат)(?P&lt;condval&gt;.*)'
    match1 = re.search(templ, text, re.I|re.S)
    if match1:
        dict1 = match1.groupdict()
        def parse_resvalues(txt):
            SUB = str.maketrans( "₀₁₂₃₄₅₆₇₈₉", "0123456789")
            SUP = str.maketrans("⁰¹²³⁴⁵⁶⁷⁸⁹", "0123456789")
            txt = txt.translate(SUB)
            txt = txt.translate(SUP)
            ruseng = str.maketrans( "АВСД", "ABCD")
            txt = txt.translate(ruseng)
            tmpl = r''
            for cat in catlist:
                # if re.search(fr'^ ?{cat}', txt, re.M):
                if re.search(fr' ?{cat}', txt, re.M):                    
                    # tmpl += fr'.*^.*(?P&lt;{cat}catname&gt;{cat}) *[-–] *(?P&lt;{cat}catvalue&gt;.+$)'
                    tmpl += fr'.*(?P&lt;{cat}catname&gt;{cat}) *[-–] *(?P&lt;{cat}catvalue&gt;.+)'
            mtch1 = re.search(tmpl, txt, re.M|re.S)
            if mtch1:
                return mtch1.groupdict()
            else:
                return None
        dict2 = {}
        for k, v in dict1.items():
            # if k in ['oilval', 'gasval', 'condval']:
            if k in resdict.values():
                parsed_v = parse_resvalues(v)
                if parsed_v:
                    dict2[k] = parsed_v
        if dict2:
            dict2 = {k: {k2: v2.replace('\n', '').strip() for k2, v2 in v.items()} for k, v in dict2.items()}
            for k, v in dict2.items():
                for k2, v2 in v.items():
                    if 'catvalue' in k2:
                        tup = None
                        # tmpl = r'(\d+[,\.]\d+) ?(\w+\.? *\w+\.?)'
                        # tmpl = r'(\d+[,\.]?\d*) ?(\w+\.? *\w+\.?)'
                        # tmpl = r'(\d+[,\.]?\d*) *(\w+\.? *\w+\.?)'
                        tmpl = r'(\d+[,\.]? ?\d*) *(\w+\.? *\w+\.?)'
                        match = re.search(tmpl, v2)
                        if match:
                            tup = tuple(match.groups())
                        if tup:
                            tup = (float(tup[0].replace(',', '.').replace(' ', '')), tup[1])
                            if re.search(r'тыс\.? ?т\.?', tup[1], re.I) and k in ['oil', 'cond']:
                                tup = (tup[0] / 1000, tup[1].replace('тыс', 'млн'))
                            if re.search(r'млн|миллион', tup[1], re.I) and k == 'gas':
                                tup = (tup[0] / 1000, tup[1].replace('млн', 'млрд').replace('миллион', 'млрд'))
                            dict2[k][k2] = tup
                        pass
            dict2 = {k: {k2.replace('catvalue', ''): v2 for k2, v2 in v.items() if 'catvalue' in k2} for k, v in dict2.items()}
            return dict2
    return None
json.dumps(parse_resources(xl(%P2%)), ensure_ascii=False)
</code>
    </pythonScript>
  </pythonScripts>
</python>
</file>

<file path=xl/sharedStrings.xml><?xml version="1.0" encoding="utf-8"?>
<sst xmlns="http://schemas.openxmlformats.org/spreadsheetml/2006/main" count="617" uniqueCount="265">
  <si>
    <r>
      <rPr>
        <sz val="11"/>
        <rFont val="Times New Roman"/>
      </rPr>
      <t>№ п/п</t>
    </r>
  </si>
  <si>
    <r>
      <rPr>
        <sz val="9"/>
        <rFont val="Times New Roman"/>
      </rPr>
      <t>1</t>
    </r>
  </si>
  <si>
    <r>
      <rPr>
        <sz val="9"/>
        <rFont val="Times New Roman"/>
      </rPr>
      <t>2</t>
    </r>
  </si>
  <si>
    <r>
      <rPr>
        <sz val="9"/>
        <rFont val="Times New Roman"/>
      </rPr>
      <t>3</t>
    </r>
  </si>
  <si>
    <r>
      <rPr>
        <sz val="9"/>
        <rFont val="Times New Roman"/>
      </rPr>
      <t>4</t>
    </r>
  </si>
  <si>
    <r>
      <rPr>
        <sz val="9"/>
        <rFont val="Times New Roman"/>
      </rPr>
      <t>5</t>
    </r>
  </si>
  <si>
    <r>
      <rPr>
        <sz val="9"/>
        <rFont val="Times New Roman"/>
      </rPr>
      <t>6</t>
    </r>
  </si>
  <si>
    <r>
      <rPr>
        <sz val="11"/>
        <rFont val="Times New Roman"/>
      </rPr>
      <t>Субъект РФ</t>
    </r>
  </si>
  <si>
    <r>
      <rPr>
        <sz val="9"/>
        <rFont val="Times New Roman"/>
      </rPr>
      <t>Волгоградская область</t>
    </r>
  </si>
  <si>
    <r>
      <rPr>
        <sz val="9"/>
        <rFont val="Times New Roman"/>
      </rPr>
      <t>Иркутская область</t>
    </r>
  </si>
  <si>
    <r>
      <rPr>
        <sz val="9"/>
        <rFont val="Times New Roman"/>
      </rPr>
      <t>Оренбургская область</t>
    </r>
  </si>
  <si>
    <r>
      <rPr>
        <sz val="11"/>
        <rFont val="Times New Roman"/>
      </rPr>
      <t>Наименование участка недр</t>
    </r>
  </si>
  <si>
    <r>
      <rPr>
        <b/>
        <sz val="10"/>
        <rFont val="Times New Roman"/>
      </rPr>
      <t>Линевский</t>
    </r>
  </si>
  <si>
    <r>
      <rPr>
        <b/>
        <sz val="10"/>
        <rFont val="Times New Roman"/>
      </rPr>
      <t>Усть-Ордынский</t>
    </r>
  </si>
  <si>
    <r>
      <rPr>
        <b/>
        <sz val="10"/>
        <rFont val="Times New Roman"/>
      </rPr>
      <t>Качугский</t>
    </r>
  </si>
  <si>
    <r>
      <rPr>
        <b/>
        <sz val="10"/>
        <rFont val="Times New Roman"/>
      </rPr>
      <t>Восточно-Ордынский</t>
    </r>
  </si>
  <si>
    <r>
      <rPr>
        <b/>
        <sz val="10"/>
        <rFont val="Times New Roman"/>
      </rPr>
      <t>Загорский</t>
    </r>
  </si>
  <si>
    <r>
      <rPr>
        <b/>
        <sz val="10"/>
        <rFont val="Times New Roman"/>
      </rPr>
      <t>Богородский</t>
    </r>
  </si>
  <si>
    <r>
      <rPr>
        <sz val="11"/>
        <rFont val="Times New Roman"/>
      </rPr>
      <t>Извлекаемые запасы и прсогнозные ресурсы (с указанием категории) (ед.изм.)</t>
    </r>
  </si>
  <si>
    <r>
      <rPr>
        <sz val="9"/>
        <rFont val="Times New Roman"/>
      </rPr>
      <t>7</t>
    </r>
  </si>
  <si>
    <r>
      <rPr>
        <sz val="9"/>
        <rFont val="Times New Roman"/>
      </rPr>
      <t>8</t>
    </r>
  </si>
  <si>
    <r>
      <rPr>
        <sz val="9"/>
        <rFont val="Times New Roman"/>
      </rPr>
      <t>9</t>
    </r>
  </si>
  <si>
    <r>
      <rPr>
        <sz val="9"/>
        <rFont val="Times New Roman"/>
      </rPr>
      <t>10</t>
    </r>
  </si>
  <si>
    <r>
      <rPr>
        <sz val="9"/>
        <rFont val="Times New Roman"/>
      </rPr>
      <t>11</t>
    </r>
  </si>
  <si>
    <r>
      <rPr>
        <sz val="9"/>
        <rFont val="Times New Roman"/>
      </rPr>
      <t>12</t>
    </r>
  </si>
  <si>
    <r>
      <rPr>
        <sz val="9"/>
        <rFont val="Times New Roman"/>
      </rPr>
      <t>13</t>
    </r>
  </si>
  <si>
    <r>
      <rPr>
        <sz val="9"/>
        <rFont val="Times New Roman"/>
      </rPr>
      <t>14</t>
    </r>
  </si>
  <si>
    <r>
      <rPr>
        <sz val="9"/>
        <rFont val="Times New Roman"/>
      </rPr>
      <t>15</t>
    </r>
  </si>
  <si>
    <r>
      <rPr>
        <sz val="9"/>
        <rFont val="Times New Roman"/>
      </rPr>
      <t>16</t>
    </r>
  </si>
  <si>
    <r>
      <rPr>
        <sz val="9"/>
        <rFont val="Times New Roman"/>
      </rPr>
      <t>17</t>
    </r>
  </si>
  <si>
    <r>
      <rPr>
        <sz val="9"/>
        <rFont val="Times New Roman"/>
      </rPr>
      <t>18</t>
    </r>
  </si>
  <si>
    <r>
      <rPr>
        <sz val="9"/>
        <rFont val="Times New Roman"/>
      </rPr>
      <t>19</t>
    </r>
  </si>
  <si>
    <r>
      <rPr>
        <sz val="9"/>
        <rFont val="Times New Roman"/>
      </rPr>
      <t>20</t>
    </r>
  </si>
  <si>
    <r>
      <rPr>
        <sz val="9"/>
        <rFont val="Times New Roman"/>
      </rPr>
      <t>Пермский край</t>
    </r>
  </si>
  <si>
    <r>
      <rPr>
        <b/>
        <sz val="10"/>
        <rFont val="Times New Roman"/>
      </rPr>
      <t>Дружный</t>
    </r>
  </si>
  <si>
    <r>
      <rPr>
        <b/>
        <sz val="10"/>
        <rFont val="Times New Roman"/>
      </rPr>
      <t>Предуральский</t>
    </r>
  </si>
  <si>
    <r>
      <rPr>
        <b/>
        <sz val="10"/>
        <rFont val="Times New Roman"/>
      </rPr>
      <t>Сокский</t>
    </r>
  </si>
  <si>
    <r>
      <rPr>
        <b/>
        <sz val="10"/>
        <rFont val="Times New Roman"/>
      </rPr>
      <t>Соболевский</t>
    </r>
  </si>
  <si>
    <r>
      <rPr>
        <b/>
        <sz val="10"/>
        <rFont val="Times New Roman"/>
      </rPr>
      <t>Таманский</t>
    </r>
  </si>
  <si>
    <r>
      <rPr>
        <b/>
        <sz val="10"/>
        <rFont val="Times New Roman"/>
      </rPr>
      <t>Челванский</t>
    </r>
  </si>
  <si>
    <r>
      <rPr>
        <b/>
        <sz val="10"/>
        <rFont val="Times New Roman"/>
      </rPr>
      <t>Сосновый</t>
    </r>
  </si>
  <si>
    <r>
      <rPr>
        <b/>
        <sz val="10"/>
        <rFont val="Times New Roman"/>
      </rPr>
      <t>Сестринский</t>
    </r>
  </si>
  <si>
    <r>
      <rPr>
        <b/>
        <sz val="10"/>
        <rFont val="Times New Roman"/>
      </rPr>
      <t>Черноречный</t>
    </r>
  </si>
  <si>
    <r>
      <rPr>
        <b/>
        <sz val="10"/>
        <rFont val="Times New Roman"/>
      </rPr>
      <t>Половодовский</t>
    </r>
  </si>
  <si>
    <r>
      <rPr>
        <b/>
        <sz val="10"/>
        <rFont val="Times New Roman"/>
      </rPr>
      <t>Вильвенский</t>
    </r>
  </si>
  <si>
    <r>
      <rPr>
        <b/>
        <sz val="10"/>
        <rFont val="Times New Roman"/>
      </rPr>
      <t>Малыгинский</t>
    </r>
  </si>
  <si>
    <r>
      <rPr>
        <b/>
        <sz val="10"/>
        <rFont val="Times New Roman"/>
      </rPr>
      <t>Бердышевский</t>
    </r>
  </si>
  <si>
    <r>
      <rPr>
        <b/>
        <sz val="10"/>
        <rFont val="Times New Roman"/>
      </rPr>
      <t>Ольховский</t>
    </r>
  </si>
  <si>
    <r>
      <rPr>
        <sz val="9"/>
        <rFont val="Times New Roman"/>
      </rPr>
      <t>21</t>
    </r>
  </si>
  <si>
    <r>
      <rPr>
        <sz val="9"/>
        <rFont val="Times New Roman"/>
      </rPr>
      <t>22</t>
    </r>
  </si>
  <si>
    <r>
      <rPr>
        <sz val="9"/>
        <rFont val="Times New Roman"/>
      </rPr>
      <t>23</t>
    </r>
  </si>
  <si>
    <r>
      <rPr>
        <sz val="9"/>
        <rFont val="Times New Roman"/>
      </rPr>
      <t>24</t>
    </r>
  </si>
  <si>
    <r>
      <rPr>
        <sz val="9"/>
        <rFont val="Times New Roman"/>
      </rPr>
      <t>25</t>
    </r>
  </si>
  <si>
    <r>
      <rPr>
        <sz val="9"/>
        <rFont val="Times New Roman"/>
      </rPr>
      <t>26</t>
    </r>
  </si>
  <si>
    <r>
      <rPr>
        <sz val="9"/>
        <rFont val="Times New Roman"/>
      </rPr>
      <t>27</t>
    </r>
  </si>
  <si>
    <r>
      <rPr>
        <sz val="9"/>
        <rFont val="Times New Roman"/>
      </rPr>
      <t>28</t>
    </r>
  </si>
  <si>
    <r>
      <rPr>
        <sz val="9"/>
        <rFont val="Times New Roman"/>
      </rPr>
      <t>29</t>
    </r>
  </si>
  <si>
    <r>
      <rPr>
        <sz val="9"/>
        <rFont val="Times New Roman"/>
      </rPr>
      <t>30</t>
    </r>
  </si>
  <si>
    <r>
      <rPr>
        <sz val="9"/>
        <rFont val="Times New Roman"/>
      </rPr>
      <t>31</t>
    </r>
  </si>
  <si>
    <r>
      <rPr>
        <sz val="9"/>
        <rFont val="Times New Roman"/>
      </rPr>
      <t>Республика Башкортостан</t>
    </r>
  </si>
  <si>
    <r>
      <rPr>
        <sz val="9"/>
        <rFont val="Times New Roman"/>
      </rPr>
      <t>Республика Ингушетия</t>
    </r>
  </si>
  <si>
    <r>
      <rPr>
        <sz val="9"/>
        <rFont val="Times New Roman"/>
      </rPr>
      <t>Республика Калмыкия</t>
    </r>
  </si>
  <si>
    <r>
      <rPr>
        <b/>
        <sz val="10"/>
        <rFont val="Times New Roman"/>
      </rPr>
      <t>Сылвенский</t>
    </r>
  </si>
  <si>
    <r>
      <rPr>
        <b/>
        <sz val="10"/>
        <rFont val="Times New Roman"/>
      </rPr>
      <t>Шитоевский</t>
    </r>
  </si>
  <si>
    <r>
      <rPr>
        <b/>
        <sz val="10"/>
        <rFont val="Times New Roman"/>
      </rPr>
      <t>Куязинский</t>
    </r>
  </si>
  <si>
    <r>
      <rPr>
        <b/>
        <sz val="10"/>
        <rFont val="Times New Roman"/>
      </rPr>
      <t>Табаскинский</t>
    </r>
  </si>
  <si>
    <r>
      <rPr>
        <b/>
        <sz val="10"/>
        <rFont val="Times New Roman"/>
      </rPr>
      <t>Южно-С алаевский</t>
    </r>
  </si>
  <si>
    <r>
      <rPr>
        <b/>
        <sz val="10"/>
        <rFont val="Times New Roman"/>
      </rPr>
      <t>часть Харбижинского нефтяного месторождения</t>
    </r>
  </si>
  <si>
    <r>
      <rPr>
        <b/>
        <sz val="10"/>
        <rFont val="Times New Roman"/>
      </rPr>
      <t>Промысловский 2</t>
    </r>
  </si>
  <si>
    <r>
      <rPr>
        <b/>
        <sz val="10"/>
        <rFont val="Times New Roman"/>
      </rPr>
      <t>Моктинский</t>
    </r>
  </si>
  <si>
    <r>
      <rPr>
        <b/>
        <sz val="10"/>
        <rFont val="Times New Roman"/>
      </rPr>
      <t>Хар-Адрыкский</t>
    </r>
  </si>
  <si>
    <r>
      <rPr>
        <b/>
        <sz val="10"/>
        <rFont val="Times New Roman"/>
      </rPr>
      <t>Приютненский</t>
    </r>
  </si>
  <si>
    <r>
      <rPr>
        <b/>
        <sz val="10"/>
        <rFont val="Times New Roman"/>
      </rPr>
      <t>Западно-Утсалинский</t>
    </r>
  </si>
  <si>
    <r>
      <rPr>
        <sz val="9"/>
        <rFont val="Times New Roman"/>
      </rPr>
      <t>32</t>
    </r>
  </si>
  <si>
    <r>
      <rPr>
        <sz val="9"/>
        <rFont val="Times New Roman"/>
      </rPr>
      <t>33</t>
    </r>
  </si>
  <si>
    <r>
      <rPr>
        <sz val="9"/>
        <rFont val="Times New Roman"/>
      </rPr>
      <t>34</t>
    </r>
  </si>
  <si>
    <r>
      <rPr>
        <sz val="9"/>
        <rFont val="Times New Roman"/>
      </rPr>
      <t>35</t>
    </r>
  </si>
  <si>
    <r>
      <rPr>
        <sz val="9"/>
        <rFont val="Times New Roman"/>
      </rPr>
      <t>36</t>
    </r>
  </si>
  <si>
    <r>
      <rPr>
        <sz val="9"/>
        <rFont val="Times New Roman"/>
      </rPr>
      <t>37</t>
    </r>
  </si>
  <si>
    <r>
      <rPr>
        <sz val="9"/>
        <rFont val="Times New Roman"/>
      </rPr>
      <t>38</t>
    </r>
  </si>
  <si>
    <r>
      <rPr>
        <sz val="9"/>
        <rFont val="Times New Roman"/>
      </rPr>
      <t>39</t>
    </r>
  </si>
  <si>
    <r>
      <rPr>
        <sz val="9"/>
        <rFont val="Times New Roman"/>
      </rPr>
      <t>40</t>
    </r>
  </si>
  <si>
    <r>
      <rPr>
        <sz val="9"/>
        <rFont val="Times New Roman"/>
      </rPr>
      <t>41</t>
    </r>
  </si>
  <si>
    <r>
      <rPr>
        <sz val="9"/>
        <rFont val="Times New Roman"/>
      </rPr>
      <t>Республика Саха (Якутия)</t>
    </r>
  </si>
  <si>
    <r>
      <rPr>
        <b/>
        <sz val="10"/>
        <rFont val="Times New Roman"/>
      </rPr>
      <t>Бюк-Танарский</t>
    </r>
  </si>
  <si>
    <r>
      <rPr>
        <b/>
        <sz val="10"/>
        <rFont val="Times New Roman"/>
      </rPr>
      <t>Приленский</t>
    </r>
  </si>
  <si>
    <r>
      <rPr>
        <b/>
        <sz val="10"/>
        <rFont val="Times New Roman"/>
      </rPr>
      <t>Восточно-Молбинский</t>
    </r>
  </si>
  <si>
    <r>
      <rPr>
        <b/>
        <sz val="10"/>
        <rFont val="Times New Roman"/>
      </rPr>
      <t>Эсселяхский</t>
    </r>
  </si>
  <si>
    <r>
      <rPr>
        <b/>
        <sz val="10"/>
        <rFont val="Times New Roman"/>
      </rPr>
      <t>Наманинский</t>
    </r>
  </si>
  <si>
    <r>
      <rPr>
        <b/>
        <sz val="10"/>
        <rFont val="Times New Roman"/>
      </rPr>
      <t>Конончанский</t>
    </r>
  </si>
  <si>
    <r>
      <rPr>
        <b/>
        <sz val="10"/>
        <rFont val="Times New Roman"/>
      </rPr>
      <t>Нижнетюкянское</t>
    </r>
  </si>
  <si>
    <r>
      <rPr>
        <b/>
        <sz val="10"/>
        <rFont val="Times New Roman"/>
      </rPr>
      <t>Восточно-Ленский</t>
    </r>
  </si>
  <si>
    <r>
      <rPr>
        <sz val="9"/>
        <rFont val="Times New Roman"/>
      </rPr>
      <t>42</t>
    </r>
  </si>
  <si>
    <r>
      <rPr>
        <sz val="9"/>
        <rFont val="Times New Roman"/>
      </rPr>
      <t>43</t>
    </r>
  </si>
  <si>
    <r>
      <rPr>
        <sz val="9"/>
        <rFont val="Times New Roman"/>
      </rPr>
      <t>44</t>
    </r>
  </si>
  <si>
    <r>
      <rPr>
        <sz val="9"/>
        <rFont val="Times New Roman"/>
      </rPr>
      <t>45</t>
    </r>
  </si>
  <si>
    <r>
      <rPr>
        <sz val="9"/>
        <rFont val="Times New Roman"/>
      </rPr>
      <t>46</t>
    </r>
  </si>
  <si>
    <r>
      <rPr>
        <sz val="9"/>
        <rFont val="Times New Roman"/>
      </rPr>
      <t>47</t>
    </r>
  </si>
  <si>
    <r>
      <rPr>
        <sz val="9"/>
        <rFont val="Times New Roman"/>
      </rPr>
      <t>48</t>
    </r>
  </si>
  <si>
    <r>
      <rPr>
        <sz val="9"/>
        <rFont val="Times New Roman"/>
      </rPr>
      <t>49</t>
    </r>
  </si>
  <si>
    <r>
      <rPr>
        <sz val="9"/>
        <rFont val="Times New Roman"/>
      </rPr>
      <t>50</t>
    </r>
  </si>
  <si>
    <r>
      <rPr>
        <sz val="9"/>
        <rFont val="Times New Roman"/>
      </rPr>
      <t>51</t>
    </r>
  </si>
  <si>
    <r>
      <rPr>
        <sz val="9"/>
        <rFont val="Times New Roman"/>
      </rPr>
      <t>52</t>
    </r>
  </si>
  <si>
    <r>
      <rPr>
        <sz val="9"/>
        <rFont val="Times New Roman"/>
      </rPr>
      <t>S3</t>
    </r>
  </si>
  <si>
    <r>
      <rPr>
        <sz val="9"/>
        <rFont val="Times New Roman"/>
      </rPr>
      <t>Удмуртская Республика</t>
    </r>
  </si>
  <si>
    <r>
      <rPr>
        <sz val="9"/>
        <rFont val="Times New Roman"/>
      </rPr>
      <t>Самарская область</t>
    </r>
  </si>
  <si>
    <r>
      <rPr>
        <sz val="9"/>
        <rFont val="Times New Roman"/>
      </rPr>
      <t>Саратовская область</t>
    </r>
  </si>
  <si>
    <r>
      <rPr>
        <sz val="9"/>
        <rFont val="Times New Roman"/>
      </rPr>
      <t>Ставропольский край</t>
    </r>
  </si>
  <si>
    <r>
      <rPr>
        <b/>
        <sz val="10"/>
        <rFont val="Times New Roman"/>
      </rPr>
      <t>Ончугинский</t>
    </r>
  </si>
  <si>
    <r>
      <rPr>
        <b/>
        <sz val="10"/>
        <rFont val="Times New Roman"/>
      </rPr>
      <t>Чекеровский</t>
    </r>
  </si>
  <si>
    <r>
      <rPr>
        <b/>
        <sz val="10"/>
        <rFont val="Times New Roman"/>
      </rPr>
      <t>Восточно-Каревский</t>
    </r>
  </si>
  <si>
    <r>
      <rPr>
        <b/>
        <sz val="10"/>
        <rFont val="Times New Roman"/>
      </rPr>
      <t>Курский</t>
    </r>
  </si>
  <si>
    <r>
      <rPr>
        <b/>
        <sz val="10"/>
        <rFont val="Times New Roman"/>
      </rPr>
      <t>Томыловский</t>
    </r>
  </si>
  <si>
    <r>
      <rPr>
        <b/>
        <sz val="10"/>
        <rFont val="Times New Roman"/>
      </rPr>
      <t>Юрьевский</t>
    </r>
  </si>
  <si>
    <r>
      <rPr>
        <b/>
        <sz val="10"/>
        <rFont val="Times New Roman"/>
      </rPr>
      <t>Моздокский</t>
    </r>
  </si>
  <si>
    <r>
      <rPr>
        <b/>
        <sz val="10"/>
        <rFont val="Times New Roman"/>
      </rPr>
      <t>Брусиловский</t>
    </r>
  </si>
  <si>
    <r>
      <rPr>
        <b/>
        <sz val="10"/>
        <rFont val="Times New Roman"/>
      </rPr>
      <t xml:space="preserve">Восточно-Камский </t>
    </r>
    <r>
      <rPr>
        <sz val="9"/>
        <rFont val="Times New Roman"/>
      </rPr>
      <t>месторождение: Восточно-Камское (Ю2-3), Янлотское (Ю2-3, Ю4) Ханты-Мансийский район</t>
    </r>
  </si>
  <si>
    <r>
      <rPr>
        <b/>
        <sz val="10"/>
        <rFont val="Times New Roman"/>
      </rPr>
      <t xml:space="preserve">Северо-Октябрьский </t>
    </r>
    <r>
      <rPr>
        <sz val="9"/>
        <rFont val="Times New Roman"/>
      </rPr>
      <t>Октябрьский район</t>
    </r>
  </si>
  <si>
    <r>
      <rPr>
        <b/>
        <sz val="10"/>
        <rFont val="Times New Roman"/>
      </rPr>
      <t xml:space="preserve">Помутский 1 </t>
    </r>
    <r>
      <rPr>
        <sz val="9"/>
        <rFont val="Times New Roman"/>
      </rPr>
      <t>подготовленные структуры: Западно-Помутская 1 (Ю0-ЮК1) Белоярский район</t>
    </r>
  </si>
  <si>
    <r>
      <rPr>
        <sz val="9"/>
        <rFont val="Times New Roman"/>
      </rPr>
      <t>54</t>
    </r>
  </si>
  <si>
    <r>
      <rPr>
        <sz val="9"/>
        <rFont val="Times New Roman"/>
      </rPr>
      <t>55</t>
    </r>
  </si>
  <si>
    <r>
      <rPr>
        <sz val="9"/>
        <rFont val="Times New Roman"/>
      </rPr>
      <t>56</t>
    </r>
  </si>
  <si>
    <r>
      <rPr>
        <sz val="9"/>
        <rFont val="Times New Roman"/>
      </rPr>
      <t>58</t>
    </r>
  </si>
  <si>
    <r>
      <rPr>
        <sz val="9"/>
        <rFont val="Times New Roman"/>
      </rPr>
      <t>59</t>
    </r>
  </si>
  <si>
    <r>
      <rPr>
        <sz val="9"/>
        <rFont val="Times New Roman"/>
      </rPr>
      <t>60</t>
    </r>
  </si>
  <si>
    <r>
      <rPr>
        <sz val="9"/>
        <rFont val="Times New Roman"/>
      </rPr>
      <t>61</t>
    </r>
  </si>
  <si>
    <r>
      <rPr>
        <b/>
        <sz val="10"/>
        <rFont val="Times New Roman"/>
      </rPr>
      <t xml:space="preserve">Помутский 2 </t>
    </r>
    <r>
      <rPr>
        <sz val="9"/>
        <rFont val="Times New Roman"/>
      </rPr>
      <t>подготовленные структуры: Нурумъюганская (АС3) Белоярский район</t>
    </r>
  </si>
  <si>
    <r>
      <rPr>
        <b/>
        <sz val="10"/>
        <rFont val="Times New Roman"/>
      </rPr>
      <t xml:space="preserve">Радомский </t>
    </r>
    <r>
      <rPr>
        <sz val="9"/>
        <rFont val="Times New Roman"/>
      </rPr>
      <t>подготовленные структуры: Радомская 1 (ВК, АС1-3, Ю2-4) Октябрьский район</t>
    </r>
  </si>
  <si>
    <r>
      <rPr>
        <b/>
        <sz val="10"/>
        <rFont val="Times New Roman"/>
      </rPr>
      <t xml:space="preserve">Помутский 3 </t>
    </r>
    <r>
      <rPr>
        <sz val="9"/>
        <rFont val="Times New Roman"/>
      </rPr>
      <t>Белоярский район</t>
    </r>
  </si>
  <si>
    <r>
      <rPr>
        <b/>
        <sz val="10"/>
        <rFont val="Times New Roman"/>
      </rPr>
      <t>Сергинский 9</t>
    </r>
  </si>
  <si>
    <r>
      <rPr>
        <b/>
        <sz val="10"/>
        <rFont val="Times New Roman"/>
      </rPr>
      <t>Юильский 5</t>
    </r>
  </si>
  <si>
    <r>
      <rPr>
        <b/>
        <sz val="10"/>
        <rFont val="Times New Roman"/>
      </rPr>
      <t xml:space="preserve">Тарховский </t>
    </r>
    <r>
      <rPr>
        <sz val="9"/>
        <rFont val="Times New Roman"/>
      </rPr>
      <t>Нижневартовский район</t>
    </r>
  </si>
  <si>
    <r>
      <rPr>
        <b/>
        <sz val="10"/>
        <rFont val="Times New Roman"/>
      </rPr>
      <t>Западно-Нятлонгский</t>
    </r>
  </si>
  <si>
    <r>
      <rPr>
        <sz val="9"/>
        <rFont val="Times New Roman"/>
      </rPr>
      <t>62</t>
    </r>
  </si>
  <si>
    <r>
      <rPr>
        <sz val="9"/>
        <rFont val="Times New Roman"/>
      </rPr>
      <t>63</t>
    </r>
  </si>
  <si>
    <r>
      <rPr>
        <sz val="9"/>
        <rFont val="Times New Roman"/>
      </rPr>
      <t>64</t>
    </r>
  </si>
  <si>
    <r>
      <rPr>
        <sz val="9"/>
        <rFont val="Times New Roman"/>
      </rPr>
      <t>65</t>
    </r>
  </si>
  <si>
    <r>
      <rPr>
        <sz val="9"/>
        <rFont val="Times New Roman"/>
      </rPr>
      <t>66</t>
    </r>
  </si>
  <si>
    <r>
      <rPr>
        <sz val="9"/>
        <rFont val="Times New Roman"/>
      </rPr>
      <t>67</t>
    </r>
  </si>
  <si>
    <r>
      <rPr>
        <sz val="9"/>
        <rFont val="Times New Roman"/>
      </rPr>
      <t>68</t>
    </r>
  </si>
  <si>
    <r>
      <rPr>
        <sz val="9"/>
        <rFont val="Times New Roman"/>
      </rPr>
      <t>69</t>
    </r>
  </si>
  <si>
    <r>
      <rPr>
        <b/>
        <sz val="10"/>
        <rFont val="Times New Roman"/>
      </rPr>
      <t xml:space="preserve">Сергинский 26 </t>
    </r>
    <r>
      <rPr>
        <sz val="9"/>
        <rFont val="Times New Roman"/>
      </rPr>
      <t>Белоярский и Октябрьский районы</t>
    </r>
  </si>
  <si>
    <r>
      <rPr>
        <b/>
        <sz val="10"/>
        <rFont val="Times New Roman"/>
      </rPr>
      <t xml:space="preserve">Сергинский 24 </t>
    </r>
    <r>
      <rPr>
        <sz val="9"/>
        <rFont val="Times New Roman"/>
      </rPr>
      <t>Белоярский и Октябрьский районы</t>
    </r>
  </si>
  <si>
    <r>
      <rPr>
        <b/>
        <sz val="10"/>
        <rFont val="Times New Roman"/>
      </rPr>
      <t xml:space="preserve">Карабашский 78 </t>
    </r>
    <r>
      <rPr>
        <sz val="9"/>
        <rFont val="Times New Roman"/>
      </rPr>
      <t>Советский и Кондинский районы</t>
    </r>
  </si>
  <si>
    <r>
      <rPr>
        <b/>
        <sz val="10"/>
        <rFont val="Times New Roman"/>
      </rPr>
      <t xml:space="preserve">Западно-Т оку шинский </t>
    </r>
    <r>
      <rPr>
        <sz val="9"/>
        <rFont val="Times New Roman"/>
      </rPr>
      <t>Советский район</t>
    </r>
  </si>
  <si>
    <r>
      <rPr>
        <b/>
        <sz val="10"/>
        <rFont val="Times New Roman"/>
      </rPr>
      <t xml:space="preserve">Токушинский </t>
    </r>
    <r>
      <rPr>
        <sz val="9"/>
        <rFont val="Times New Roman"/>
      </rPr>
      <t>Советский район</t>
    </r>
  </si>
  <si>
    <r>
      <rPr>
        <b/>
        <sz val="8"/>
        <rFont val="Times New Roman"/>
      </rPr>
      <t xml:space="preserve">ШугурСКИй </t>
    </r>
    <r>
      <rPr>
        <sz val="9"/>
        <rFont val="Times New Roman"/>
      </rPr>
      <t>Кондинский район</t>
    </r>
  </si>
  <si>
    <r>
      <rPr>
        <b/>
        <sz val="10"/>
        <rFont val="Times New Roman"/>
      </rPr>
      <t xml:space="preserve">Шебурский </t>
    </r>
    <r>
      <rPr>
        <sz val="9"/>
        <rFont val="Times New Roman"/>
      </rPr>
      <t>Кондинский район</t>
    </r>
  </si>
  <si>
    <r>
      <rPr>
        <b/>
        <sz val="10"/>
        <rFont val="Times New Roman"/>
      </rPr>
      <t xml:space="preserve">Карымский </t>
    </r>
    <r>
      <rPr>
        <sz val="9"/>
        <rFont val="Times New Roman"/>
      </rPr>
      <t>Кондинский район</t>
    </r>
  </si>
  <si>
    <r>
      <rPr>
        <sz val="9"/>
        <rFont val="Times New Roman"/>
      </rPr>
      <t>70</t>
    </r>
  </si>
  <si>
    <r>
      <rPr>
        <sz val="9"/>
        <rFont val="Times New Roman"/>
      </rPr>
      <t>71</t>
    </r>
  </si>
  <si>
    <r>
      <rPr>
        <sz val="9"/>
        <rFont val="Times New Roman"/>
      </rPr>
      <t>72</t>
    </r>
  </si>
  <si>
    <r>
      <rPr>
        <sz val="9"/>
        <rFont val="Times New Roman"/>
      </rPr>
      <t>Ямало-Ненецкий автономный округ</t>
    </r>
  </si>
  <si>
    <r>
      <rPr>
        <sz val="9"/>
        <rFont val="Times New Roman"/>
      </rPr>
      <t>Краснодарский край</t>
    </r>
  </si>
  <si>
    <r>
      <rPr>
        <b/>
        <sz val="10"/>
        <rFont val="Times New Roman"/>
      </rPr>
      <t>Западно-Кьшакьшекий</t>
    </r>
  </si>
  <si>
    <r>
      <rPr>
        <b/>
        <sz val="10"/>
        <rFont val="Times New Roman"/>
      </rPr>
      <t>Хадыженский</t>
    </r>
  </si>
  <si>
    <t xml:space="preserve">нефть (извл)
D0 - 0.35 млн.т
Dл - 0,5 млн.т. 
D1 - 0.8 млн.т. </t>
  </si>
  <si>
    <t>нефть
D0 - 0,746 млн. т</t>
  </si>
  <si>
    <t>нефть
Dл - 0,1 млн. т.
D1 - 1, 2 млн.т.
D2 - 0, 5 млн.т.
газ
D1 - 0,5 млрд. М3
D2 - 0, 2 млрд. М3</t>
  </si>
  <si>
    <t xml:space="preserve">нефть
Dл - 0,2 млн.т. 
D1 - 0.3 млн. т. </t>
  </si>
  <si>
    <t>нефть
Dл - 0,8 млн.т.
D1 -0.6 млн. т.</t>
  </si>
  <si>
    <t>нефть (извл.)
С1 - 1.220 млн.т.</t>
  </si>
  <si>
    <t>газ
D1 - 22,549 млрд.мЗ
конденсат
D1 - 2,505 млн.т.</t>
  </si>
  <si>
    <t>газ
С1 - 0,1 39 млрд.м3
C2 - 0,522 млрд.м3
конденсат
С1 - 0,001 млн.т.
С2 - 0,006 млн.т.</t>
  </si>
  <si>
    <t>нефть
D0 - 23,312 млн.т.
газ
С1 - 0,122 млрд.мЗ
D0 - 0,47 млрд.мЗ
D1 - 2,6 млрд.м3
D2 - 13,1 млрд.мЗ</t>
  </si>
  <si>
    <t>нефть
Dл - 0,18 млн.т
газ
Dл - 0,2 млрд.мЗ</t>
  </si>
  <si>
    <t>нефть
Dл -0,05 млн. т
газ
Dл - 0,133 млрд.м3</t>
  </si>
  <si>
    <t>Нефть
D1 - 9,1 млн. т
D2 - 0,4 млн.т
газ
D1 - 18,7 млрд.мЗ
D2 - 1,2 млрд.мЗ
Конденсат
D1 - 0,5 млн.т.</t>
  </si>
  <si>
    <t>Нефть
D2 - 3.9 млн.т
газ
D2 - 5.8 млрд.м3
Конденсат
D2 - 0.3 млн.т.</t>
  </si>
  <si>
    <t>Нефть D1 -6 млн. т
D2 -2,5 млн.т
газ
D1 - 57,4 млрд.мЗ
D2 -24,6 млрд.мЗ
Конденсат
D1 -3,4 млн.т.
D2 - 1,4 млн.т.</t>
  </si>
  <si>
    <t>нефть
Dл-7, 2 млн. т
газ-
Dл-107, 19 млрд. м3</t>
  </si>
  <si>
    <t>Нефть
D2 -2,9 млн.т
газ
Dл - 22,4 млрд .м3
Конденсат
Dл -0,7 млн.т.</t>
  </si>
  <si>
    <t>Нефть
D2 -0.3 млн.т
газ
D2 -14.7 млрд.мЗ</t>
  </si>
  <si>
    <t>Сpeднемархинский</t>
  </si>
  <si>
    <t>Нефть
D2 -0.3 млн.т
газ
D2 -13.8 млрд.мЗ</t>
  </si>
  <si>
    <t>газ
C1-0,259 млрд.мЗ
C2- 3,781 млрд.м3</t>
  </si>
  <si>
    <t>Накынский</t>
  </si>
  <si>
    <t>Нефть
D2 -0.2 млн.т
газ
D2 -18.1 млрд.м3</t>
  </si>
  <si>
    <t>Нефть,
D1 -5,9 млн. т
D2 -0,7млн.т
газ.
D1 -59,3 млрд.мЗ
D2 -13,0 млрд.мЗ
Конденсат
D1 -3,2 млн.т.
D2 -0,8 млн.т.</t>
  </si>
  <si>
    <t>Усть-Вилюйский</t>
  </si>
  <si>
    <t>газ
С1-0,762 млрд.мЗ</t>
  </si>
  <si>
    <t>Нефть (извл.)
В1 -0.087 млн. т
В2 -0.024 млн. т
D1 - 0,5 млн. т</t>
  </si>
  <si>
    <t>Нефть (извл.)
B1 -0.058 млн.т
D1 - 3,15 млн. т</t>
  </si>
  <si>
    <t>нефть
Dл - 2.0 млн.т.,
D1 -1.25 млн.т,
газ
D1 - 0.1 млрд.мЗ</t>
  </si>
  <si>
    <t>Нефть (извл.)
B1 -0.384 млн. т
B2 -0.132 млн.т</t>
  </si>
  <si>
    <t>Нефть (извл.)
B1 - 0.253 млн. Т</t>
  </si>
  <si>
    <t>Нефть (извл.)
B2 -0.043 млн. т
газ
B2 - 0.042 млрд.мЗ</t>
  </si>
  <si>
    <t>нефть (извл.)
C1-0.579 млн.т.
D0-1.815 млн.т.</t>
  </si>
  <si>
    <t>нефть
D1 - 1.064 млн т</t>
  </si>
  <si>
    <t>нефть (извл.):
C1 -0,531 млн. т.
C1 -9,389 млн. т.
Dл -0,361 млн. т.
D1 - 8,8 млн. т.
D2 - 0,5 млн. т.</t>
  </si>
  <si>
    <t>нефть:
D1 - 7,4 млн т.
D2 - 0,5 млн т.
газ:
D1 - 0,2 млрд м3
D2 - 0,5 млрд м3</t>
  </si>
  <si>
    <t>нефть (извл.):
D0-0,573 млн.т.
Dл - 0,695 млн.т.
D1 - 7,3 млн.т.
D2 - 5,0 млн.т.
газ
D2 - 5,0 млрд. м3.</t>
  </si>
  <si>
    <t>нефть (извл.):
D0 -2,338 млн. т.
Dл - 0,538 млн.т.
D1 - 1,4 млн.т.
D2 - 3,6 млн.т.
газ
D2 - 5,0 млрд. м3.</t>
  </si>
  <si>
    <t>нефть (извл.):
D0 -2,003 млн т.
Dл - 1,620 млн т.**
D1 - 8,0 млн.т.
D2 - 0,3 млн.т.
газ (извл.):
D1 -0,3 млрд м3.
D2-0,7 млрд м3.</t>
  </si>
  <si>
    <t>нефть
D1 - 1,5 млн.т.
D2 - 4,0 млн.т.
газ
D2 - 3,6 млрд. м3.</t>
  </si>
  <si>
    <t>нефть
D1 - 5,8 млн,т.
D2 - 0,3 млн,т.
газ
D1 -0,2 млрд,м3
D2 - 0,4 млрд,м3</t>
  </si>
  <si>
    <t>нефть
D1 - 2,0 млн,т.
D2 - 5,0 млн,т.
газ
D2 -4,5 млрд.м3</t>
  </si>
  <si>
    <t>нефть (извл.):
А -0,056 млн.т
В1 -0,257 млн.т
D0 -0,096 млн.т
газ
А - 0,004 млрд.м3
В1 - 0,019 млрд.мз
D0 - 0,007 млрд.мЗ</t>
  </si>
  <si>
    <r>
      <rPr>
        <b/>
        <sz val="10"/>
        <rFont val="Times New Roman"/>
      </rPr>
      <t xml:space="preserve">Восточно-Толумский </t>
    </r>
    <r>
      <rPr>
        <sz val="9"/>
        <rFont val="Times New Roman"/>
      </rPr>
      <t>Кондинский район</t>
    </r>
  </si>
  <si>
    <t>нефть (извл.):
C1 - 0,531 млн. т.
C1 - 9,389 млн. т.
D0 -0,919 млн. т.</t>
  </si>
  <si>
    <t>нефть (извл.)
D0 -1,117 млн.т.
Dл - 3,976 млн.т.
D1 -0,3 млн.т.
газ
D1 -1,0 млрд.мЗ</t>
  </si>
  <si>
    <t>нефть
D1 -4,4 млн,т.
D2 - 0,2 млн,т.
газ
D1 -0,2 млрд,м3
D2 -0,3 млрд,м3</t>
  </si>
  <si>
    <t>нефть
D1 - 5,6 млн,т.
D2 - 0,3 млн,т.
газ
D1 -0,2 млрд,м3
D2 - 0,4 млрд,м3</t>
  </si>
  <si>
    <t>нефть
D1 -4,2 млн,т.
D2 - 0,8 млн,т.
газ
D1 -0,9 млрд,м3
D2 -0,3 млрд,м3</t>
  </si>
  <si>
    <t>нефть
Dл - 0,3 млн,т.
D1 -0,1 млн,т.
D2 - 0,8 млн,т.
газ
D1 - 5,1 млрд,м3
D2 - 0,6 млрд,м3</t>
  </si>
  <si>
    <t>нефть (извл,)
D0 - 8,563 млн,т.
D1 -2,3 млн,т.
D2 - 0,6 млн,т.
газ
D1 - 2,5 млрд,м3
D2 - 0,4 млрд,м3</t>
  </si>
  <si>
    <t>нефть (извл,)
D0 - 0,665 млн,т.
D1 - 1,2 млн,т.
D2 - 0,3 млн,т.
газ
D1 - 0,2 млрд,мЗ
D2 - 0,6 млрд,м3</t>
  </si>
  <si>
    <t>нефть (извл,)
D0 - 1,080 млн,т.
Dл - 0,5 млн,т
D1 - 1,0 млн,т.
D2 - 0,3 млн,т.
газ
D1 -0,3 млрд,м3
D2 - 0,8 млрд,мЗ</t>
  </si>
  <si>
    <t>нефть
D1 -1,2 млн,т.
D2 -0,3 млн,т.
газ
D1 -0,2 млрд,м3
D2 - 0,4 млрд,м3</t>
  </si>
  <si>
    <t>Нефть (извл)
D0 -0,361 млнт
Dл -1,9 млн.т
D1 -4,000 млн т
D2 - 7,842 млн т
Газ
D1 - 13,645 млрд м3
D2 - 19,972 млрд м3
Конденсат
D1 - 2,096 млн т
D2 - 1,097 млн т</t>
  </si>
  <si>
    <t>Камышановая балка</t>
  </si>
  <si>
    <t>нефть
C1 - 0,007 млн.т.,
D1 - 0,3 млн т
газ
C1 - 0.588 млрд. м3.</t>
  </si>
  <si>
    <t>нефть
D1-0.4млн.т.,
D2-1.8млн.т.,
газ
D1 - 64.7 млрд.мЗ,
D2 -17.8 млрд.мЗ,
Конденсат
D1 -3,9 млн.т.
D2 - 1,1 млн.т.</t>
  </si>
  <si>
    <t>нефть
D1-1-0.5млн.т.,
D2-2.4млн.т.,
газ
D1 - 84.0 млрд.мЗ,
D2 -2З.1 млрд.мЗ,
Конденсат
D1 -5.0 млн.т.
D2 - 1,5 млн.т.</t>
  </si>
  <si>
    <t>нефть
D1-0.2млн.т.,
D2-1.2млн.т.,
газ
D1 - 42.2 млрд.мЗ,
D2 -11.6 млрд.мЗ,
Конденсат
D1 -2.5 млн.т.
D2 - 0.7 млн.т.</t>
  </si>
  <si>
    <t>нефть
D0 -2,904 млн.т.</t>
  </si>
  <si>
    <t>нефть
D0 -0.575 млн.т.</t>
  </si>
  <si>
    <t>нефть
D0 -2,008 млн.т.,
Dл - 16,675 млн.т..
D1 -5,969 млн.т.
газ
Dл - 1,845 млрд, м3.
D1 - 1,704 млрд.мЗ,
конденсат
D1 -0,336 млн.т</t>
  </si>
  <si>
    <t>нефть
Dл -9.125 млн.т.,
D1 -96.4 млн.т,
газ
Dл - 16.525 млрд, м3.
D1 - 51.309 млрд.м3.
конденсат
Dл - 1.297 млн.т</t>
  </si>
  <si>
    <t>нефть (извл)
C1-0,565 млн.т
C2 - 0,417 млн.т
D1-1,517 млн.т</t>
  </si>
  <si>
    <t>нефть (извл)
С1-0,296 млн.т</t>
  </si>
  <si>
    <t>нефть
D1-7,2 млн.т</t>
  </si>
  <si>
    <t>нефть
D1-2,1 млн.т</t>
  </si>
  <si>
    <t>нефть
D1-2,7 млн.т</t>
  </si>
  <si>
    <t>нефть
Dл - 0.9 млн.т.
D1 - 0.7 млн.т.</t>
  </si>
  <si>
    <t>нефть
Dл -1.0 млн.т.
D1 -0.8 млн.т.</t>
  </si>
  <si>
    <t>нефть
Dл - 0.3 млн.т.
D1 - 0.1 млн.т,</t>
  </si>
  <si>
    <t>нефть
Dл -0.3 млн.т.
D1 - 0.2 млн.т.</t>
  </si>
  <si>
    <t>нефть
Dл - 0.7 млн.т.
D1 -0.5 млн.т.</t>
  </si>
  <si>
    <t>нефть
Dл -1.1 млн.т.
D1 - 0.9 млн.т.</t>
  </si>
  <si>
    <t>Data attribution: Fisher,R. A.. (1988). Iris. UCI Machine Learning Repository. https://doi.org/10.24432/C56C76</t>
  </si>
  <si>
    <t>virginica</t>
  </si>
  <si>
    <t>versicolor</t>
  </si>
  <si>
    <t>setosa</t>
  </si>
  <si>
    <r>
      <t xml:space="preserve">The seaborn library is also available by default. Use the alias </t>
    </r>
    <r>
      <rPr>
        <b/>
        <sz val="11"/>
        <color theme="1"/>
        <rFont val="Aptos Narrow"/>
        <family val="2"/>
        <scheme val="minor"/>
      </rPr>
      <t>sns</t>
    </r>
    <r>
      <rPr>
        <i/>
        <sz val="11"/>
        <color theme="1"/>
        <rFont val="Aptos Narrow"/>
        <family val="2"/>
        <scheme val="minor"/>
      </rPr>
      <t xml:space="preserve"> to call the seaborn library.
Select the cell containing the pair plot visualization, and then use the </t>
    </r>
    <r>
      <rPr>
        <b/>
        <sz val="11"/>
        <color theme="1"/>
        <rFont val="Aptos Narrow"/>
        <family val="2"/>
        <scheme val="minor"/>
      </rPr>
      <t>Create Reference</t>
    </r>
    <r>
      <rPr>
        <i/>
        <sz val="11"/>
        <color theme="1"/>
        <rFont val="Aptos Narrow"/>
        <family val="2"/>
        <scheme val="minor"/>
      </rPr>
      <t xml:space="preserve"> button to extract the visualization image to the Excel grid. 
Drag and drop the reference image to move it around the grid.</t>
    </r>
  </si>
  <si>
    <t xml:space="preserve">Create a pair plot with the open-source Python library seaborn to visualize the relationships between the numerical columns. Set the output to display by species color. </t>
  </si>
  <si>
    <r>
      <t xml:space="preserve">The Matplotlib library is available by default with Python in Excel. Use the alias </t>
    </r>
    <r>
      <rPr>
        <b/>
        <sz val="11"/>
        <color theme="1"/>
        <rFont val="Aptos Narrow"/>
        <family val="2"/>
        <scheme val="minor"/>
      </rPr>
      <t>plt</t>
    </r>
    <r>
      <rPr>
        <i/>
        <sz val="11"/>
        <color theme="1"/>
        <rFont val="Aptos Narrow"/>
        <family val="2"/>
        <scheme val="minor"/>
      </rPr>
      <t xml:space="preserve"> to call matplotlib.
Open the right-click menu and use </t>
    </r>
    <r>
      <rPr>
        <b/>
        <sz val="11"/>
        <color theme="1"/>
        <rFont val="Aptos Narrow"/>
        <family val="2"/>
        <scheme val="minor"/>
      </rPr>
      <t>Python Output</t>
    </r>
    <r>
      <rPr>
        <i/>
        <sz val="11"/>
        <color theme="1"/>
        <rFont val="Aptos Narrow"/>
        <family val="2"/>
        <scheme val="minor"/>
      </rPr>
      <t xml:space="preserve"> to toggle results between Excel values and Python objects.</t>
    </r>
  </si>
  <si>
    <r>
      <rPr>
        <sz val="11"/>
        <color theme="1"/>
        <rFont val="Aptos Narrow"/>
        <family val="2"/>
      </rPr>
      <t xml:space="preserve">Use the open-source library matplotlib to visualize the average </t>
    </r>
    <r>
      <rPr>
        <b/>
        <sz val="11"/>
        <color theme="1"/>
        <rFont val="Aptos Narrow"/>
        <family val="2"/>
      </rPr>
      <t>petal_width</t>
    </r>
    <r>
      <rPr>
        <sz val="11"/>
        <color theme="1"/>
        <rFont val="Aptos Narrow"/>
        <family val="2"/>
      </rPr>
      <t xml:space="preserve"> for each species.</t>
    </r>
  </si>
  <si>
    <t>A Series is similar to a DataFrame, except it contains only one data column. Select the card icon in the Series cell to see the content.</t>
  </si>
  <si>
    <r>
      <t xml:space="preserve">Group the flowers by species and return a Series containing the average </t>
    </r>
    <r>
      <rPr>
        <b/>
        <sz val="11"/>
        <color theme="1"/>
        <rFont val="Aptos Narrow"/>
        <family val="2"/>
      </rPr>
      <t>petal_width</t>
    </r>
    <r>
      <rPr>
        <sz val="11"/>
        <color theme="1"/>
        <rFont val="Aptos Narrow"/>
        <family val="2"/>
      </rPr>
      <t xml:space="preserve"> for each species.</t>
    </r>
  </si>
  <si>
    <t>Select the card icon in a DataFrame cell to see a preview of the DataFrame.</t>
  </si>
  <si>
    <r>
      <t xml:space="preserve">Return a description of the DataFrame in cell </t>
    </r>
    <r>
      <rPr>
        <b/>
        <sz val="11"/>
        <color theme="1"/>
        <rFont val="Aptos Narrow"/>
        <family val="2"/>
      </rPr>
      <t>H9</t>
    </r>
    <r>
      <rPr>
        <sz val="11"/>
        <color theme="1"/>
        <rFont val="Aptos Narrow"/>
        <family val="2"/>
      </rPr>
      <t>, including row count, mean, and other data analysis.</t>
    </r>
  </si>
  <si>
    <r>
      <t xml:space="preserve">Enter </t>
    </r>
    <r>
      <rPr>
        <b/>
        <i/>
        <sz val="11"/>
        <color theme="1"/>
        <rFont val="Aptos Narrow"/>
        <family val="2"/>
        <scheme val="minor"/>
      </rPr>
      <t>=PY</t>
    </r>
    <r>
      <rPr>
        <i/>
        <sz val="11"/>
        <color theme="1"/>
        <rFont val="Aptos Narrow"/>
        <family val="2"/>
        <scheme val="minor"/>
      </rPr>
      <t xml:space="preserve"> in a cell and then select </t>
    </r>
    <r>
      <rPr>
        <b/>
        <i/>
        <sz val="11"/>
        <color theme="1"/>
        <rFont val="Aptos Narrow"/>
        <family val="2"/>
        <scheme val="minor"/>
      </rPr>
      <t>PY</t>
    </r>
    <r>
      <rPr>
        <i/>
        <sz val="11"/>
        <color theme="1"/>
        <rFont val="Aptos Narrow"/>
        <family val="2"/>
        <scheme val="minor"/>
      </rPr>
      <t xml:space="preserve"> from the AutoComplete menu to enable Python formulas.</t>
    </r>
  </si>
  <si>
    <t xml:space="preserve">Create a DataFrame with the Iris data set </t>
  </si>
  <si>
    <t>Try it out!</t>
  </si>
  <si>
    <t>Hints</t>
  </si>
  <si>
    <t>Example Python Excel formula</t>
  </si>
  <si>
    <t>Goals</t>
  </si>
  <si>
    <t>species</t>
  </si>
  <si>
    <t>petal_width</t>
  </si>
  <si>
    <t>petal_length</t>
  </si>
  <si>
    <t>sepal_width</t>
  </si>
  <si>
    <t>sepal_length</t>
  </si>
  <si>
    <t>Python in Excel data analysis</t>
  </si>
  <si>
    <t>Iris data set (as Excel table)</t>
  </si>
  <si>
    <t>Use the Iris data set to experiment with Python in Excel data analysis.</t>
  </si>
  <si>
    <t>нефть (извл)
AB1-0.001 млн.т.</t>
  </si>
  <si>
    <t>нефть (извл)
АВ1-0.009 млн.т.</t>
  </si>
  <si>
    <t>Ханты-Мансийский автономный округ - Югра</t>
  </si>
  <si>
    <t>source</t>
  </si>
  <si>
    <t>Прогнозный перечень участков недр углеводородного сырья, аукционы по которым планируется провести в 2025 году</t>
  </si>
  <si>
    <t>url</t>
  </si>
  <si>
    <t>https://rosnedra.gov.ru/activity/informatsionnye-resursy-i-programmy/prog2noznyy-perechen-uchastkov-nedr-uglevodorodnogo-syrya-auktsiony-po-kotorym-planiruetsya-provesti-/</t>
  </si>
  <si>
    <t>sql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</si>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</sst>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name val="Times New Roman"/>
    </font>
    <font>
      <sz val="9"/>
      <name val="Times New Roman"/>
    </font>
    <font>
      <b/>
      <sz val="10"/>
      <name val="Times New Roman"/>
    </font>
    <font>
      <sz val="7"/>
      <name val="Arial"/>
    </font>
    <font>
      <b/>
      <sz val="8"/>
      <name val="Times New Roman"/>
    </font>
    <font>
      <sz val="10"/>
      <name val="Times New Roman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6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8"/>
      <name val="Aptos Narrow"/>
      <family val="2"/>
      <scheme val="minor"/>
    </font>
    <font>
      <b/>
      <sz val="11"/>
      <name val="Aptos Narrow"/>
      <family val="2"/>
      <scheme val="minor"/>
    </font>
    <font>
      <sz val="18"/>
      <name val="Aptos Narrow"/>
      <family val="2"/>
      <scheme val="minor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/>
      <bottom style="thin">
        <color theme="6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5">
    <xf numFmtId="0" fontId="0" fillId="0" borderId="0"/>
    <xf numFmtId="0" fontId="7" fillId="0" borderId="0"/>
    <xf numFmtId="0" fontId="14" fillId="0" borderId="20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top" inden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left" vertical="top" indent="2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 wrapText="1"/>
    </xf>
    <xf numFmtId="0" fontId="7" fillId="0" borderId="0" xfId="1"/>
    <xf numFmtId="0" fontId="13" fillId="2" borderId="25" xfId="1" applyFont="1" applyFill="1" applyBorder="1"/>
    <xf numFmtId="0" fontId="13" fillId="2" borderId="26" xfId="1" applyFont="1" applyFill="1" applyBorder="1"/>
    <xf numFmtId="0" fontId="13" fillId="2" borderId="27" xfId="1" applyFont="1" applyFill="1" applyBorder="1"/>
    <xf numFmtId="0" fontId="7" fillId="0" borderId="0" xfId="1" applyAlignment="1">
      <alignment horizontal="center"/>
    </xf>
    <xf numFmtId="0" fontId="17" fillId="0" borderId="0" xfId="3" applyFont="1" applyAlignment="1"/>
    <xf numFmtId="0" fontId="18" fillId="0" borderId="0" xfId="3" applyFont="1" applyAlignment="1"/>
    <xf numFmtId="0" fontId="2" fillId="0" borderId="13" xfId="0" applyFont="1" applyBorder="1" applyAlignment="1">
      <alignment horizontal="center" vertical="top"/>
    </xf>
    <xf numFmtId="0" fontId="0" fillId="0" borderId="29" xfId="0" applyBorder="1" applyAlignment="1">
      <alignment horizontal="center" vertical="center"/>
    </xf>
    <xf numFmtId="0" fontId="20" fillId="0" borderId="0" xfId="4"/>
    <xf numFmtId="0" fontId="0" fillId="0" borderId="30" xfId="0" applyBorder="1" applyAlignment="1">
      <alignment horizontal="center" vertical="center"/>
    </xf>
    <xf numFmtId="0" fontId="7" fillId="0" borderId="22" xfId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7" fillId="0" borderId="22" xfId="1" applyBorder="1" applyAlignment="1">
      <alignment horizontal="left"/>
    </xf>
    <xf numFmtId="0" fontId="7" fillId="0" borderId="24" xfId="1" applyBorder="1" applyAlignment="1">
      <alignment horizontal="left"/>
    </xf>
    <xf numFmtId="0" fontId="7" fillId="0" borderId="23" xfId="1" applyBorder="1" applyAlignment="1">
      <alignment horizontal="left"/>
    </xf>
    <xf numFmtId="0" fontId="7" fillId="0" borderId="21" xfId="1" applyBorder="1" applyAlignment="1">
      <alignment horizontal="left"/>
    </xf>
    <xf numFmtId="0" fontId="15" fillId="0" borderId="28" xfId="2" applyFont="1" applyBorder="1" applyAlignment="1">
      <alignment horizontal="left"/>
    </xf>
    <xf numFmtId="0" fontId="7" fillId="0" borderId="22" xfId="1" applyBorder="1" applyAlignment="1">
      <alignment horizontal="center"/>
    </xf>
    <xf numFmtId="0" fontId="10" fillId="0" borderId="22" xfId="1" applyFont="1" applyBorder="1" applyAlignment="1">
      <alignment horizontal="center" vertical="center" wrapText="1"/>
    </xf>
    <xf numFmtId="0" fontId="7" fillId="0" borderId="22" xfId="1" applyBorder="1" applyAlignment="1">
      <alignment horizontal="center" vertical="center" wrapText="1"/>
    </xf>
    <xf numFmtId="0" fontId="19" fillId="0" borderId="0" xfId="3" applyFont="1" applyBorder="1" applyAlignment="1">
      <alignment horizontal="left"/>
    </xf>
    <xf numFmtId="0" fontId="7" fillId="0" borderId="0" xfId="1" applyAlignment="1">
      <alignment horizontal="left" wrapText="1"/>
    </xf>
  </cellXfs>
  <cellStyles count="5">
    <cellStyle name="Heading 2 2" xfId="2" xr:uid="{1437BFA8-439B-43AD-871D-184BEE2079A3}"/>
    <cellStyle name="Hyperlink" xfId="4" builtinId="8"/>
    <cellStyle name="Normal" xfId="0" builtinId="0"/>
    <cellStyle name="Normal 2" xfId="1" xr:uid="{FB44C6AB-A622-492A-9929-547E9483CB9B}"/>
    <cellStyle name="Title 2" xfId="3" xr:uid="{F1BBAF87-C590-485D-9C52-66F6054D130B}"/>
  </cellStyles>
  <dxfs count="7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2" c="6">
    <v t="s"/>
    <v t="s">sepal_length</v>
    <v t="s">sepal_width</v>
    <v t="s">petal_length</v>
    <v t="s">petal_width</v>
    <v t="s">species</v>
    <v>0</v>
    <v>5.0999999999999996</v>
    <v>3.5</v>
    <v>1.4</v>
    <v>0.2</v>
    <v t="s">setosa</v>
    <v>1</v>
    <v>4.9000000000000004</v>
    <v>3</v>
    <v>1.4</v>
    <v>0.2</v>
    <v t="s">setosa</v>
    <v>2</v>
    <v>4.7</v>
    <v>3.2</v>
    <v>1.3</v>
    <v>0.2</v>
    <v t="s">setosa</v>
    <v>3</v>
    <v>4.5999999999999996</v>
    <v>3.1</v>
    <v>1.5</v>
    <v>0.2</v>
    <v t="s">setosa</v>
    <v>4</v>
    <v>5</v>
    <v>3.6</v>
    <v>1.4</v>
    <v>0.2</v>
    <v t="s">setosa</v>
    <v t="s">...</v>
    <v t="s">...</v>
    <v t="s">...</v>
    <v t="s">...</v>
    <v t="s">...</v>
    <v t="s">...</v>
    <v>145</v>
    <v>6.7</v>
    <v>3</v>
    <v>5.2</v>
    <v>2.2999999999999998</v>
    <v t="s">virginica</v>
    <v>146</v>
    <v>6.3</v>
    <v>2.5</v>
    <v>5</v>
    <v>1.9</v>
    <v t="s">virginica</v>
    <v>147</v>
    <v>6.5</v>
    <v>3</v>
    <v>5.2</v>
    <v>2</v>
    <v t="s">virginica</v>
    <v>148</v>
    <v>6.2</v>
    <v>3.4</v>
    <v>5.4</v>
    <v>2.2999999999999998</v>
    <v t="s">virginica</v>
    <v>149</v>
    <v>5.9</v>
    <v>3</v>
    <v>5.0999999999999996</v>
    <v>1.8</v>
    <v t="s">virginica</v>
  </a>
  <a r="9" c="5">
    <v t="s"/>
    <v t="s">sepal_length</v>
    <v t="s">sepal_width</v>
    <v t="s">petal_length</v>
    <v t="s">petal_width</v>
    <v t="s">count</v>
    <v>150</v>
    <v>150</v>
    <v>150</v>
    <v>150</v>
    <v t="s">mean</v>
    <v>5.8433333333333337</v>
    <v>3.0540000000000003</v>
    <v>3.7586666666666662</v>
    <v>1.1986666666666668</v>
    <v t="s">std</v>
    <v>0.82806612797786294</v>
    <v>0.43359431136217369</v>
    <v>1.7644204199522617</v>
    <v>0.76316074170084136</v>
    <v t="s">min</v>
    <v>4.3</v>
    <v>2</v>
    <v>1</v>
    <v>0.1</v>
    <v t="s">25%</v>
    <v>5.0999999999999996</v>
    <v>2.8</v>
    <v>1.6</v>
    <v>0.3</v>
    <v t="s">50%</v>
    <v>5.8</v>
    <v>3</v>
    <v>4.3499999999999996</v>
    <v>1.3</v>
    <v t="s">75%</v>
    <v>6.4</v>
    <v>3.3</v>
    <v>5.0999999999999996</v>
    <v>1.8</v>
    <v t="s">max</v>
    <v>7.9</v>
    <v>4.4000000000000004</v>
    <v>6.9</v>
    <v>2.5</v>
  </a>
  <a r="4" c="2">
    <v t="s">species</v>
    <v t="s">petal_width</v>
    <v t="s">setosa</v>
    <v>0.24400000000000002</v>
    <v t="s">versicolor</v>
    <v>1.3259999999999998</v>
    <v t="s">virginica</v>
    <v>2.0259999999999998</v>
  </a>
</arrayData>
</file>

<file path=xl/richData/rdrichvalue.xml><?xml version="1.0" encoding="utf-8"?>
<rvData xmlns="http://schemas.microsoft.com/office/spreadsheetml/2017/richdata" count="82">
  <rv s="0">
    <v>0</v>
  </rv>
  <rv s="1">
    <v>DataFrame</v>
    <v>1</v>
    <v>0</v>
  </rv>
  <rv s="2">
    <v>&lt;class 'pandas.core.frame.DataFrame'&gt;</v>
    <v>DataFrame</v>
    <v xml:space="preserve">     sepal_length  sepal_width  petal_length  petal_width    species
0             5.1          3.5           1.4          0.2     setosa
1             4.9          3.0           1.4          0.2     setosa
2             4.7          3.2           1.3 ...</v>
    <v>1</v>
    <v>2</v>
  </rv>
  <rv s="0">
    <v>1</v>
  </rv>
  <rv s="1">
    <v>DataFrame</v>
    <v>4</v>
    <v>3</v>
  </rv>
  <rv s="2">
    <v>&lt;class 'pandas.core.frame.DataFrame'&gt;</v>
    <v>DataFrame</v>
    <v xml:space="preserve">       sepal_length  sepal_width  petal_length  petal_width
count    150.000000   150.000000    150.000000   150.000000
mean       5.843333     3.054000      3.758667     1.198667
std        0.828066     0.433594      1.764420     0.763161
min        4...</v>
    <v>4</v>
    <v>2</v>
  </rv>
  <rv s="0">
    <v>2</v>
  </rv>
  <rv s="1">
    <v>Series</v>
    <v>6</v>
    <v>6</v>
  </rv>
  <rv s="2">
    <v>&lt;class 'pandas.core.series.Series'&gt;</v>
    <v>Series</v>
    <v>species
setosa        0.244
versicolor    1.326
virginica     2.026
Name: petal_width, dtype: float64</v>
    <v>7</v>
    <v>2</v>
  </rv>
  <rv s="3">
    <v>0</v>
    <v>9</v>
    <v>Image generated by Python</v>
  </rv>
  <rv s="3">
    <v>1</v>
    <v>9</v>
    <v>Image generated by Python</v>
  </rv>
  <rv s="4">
    <fb t="s">{"oil": {"C1": [0.007, "млн.т."], "D1": [0.3, "млн т"]}, "gas": {"C1": [0.588, "млрд. м3."]}}</fb>
    <v>&lt;class 'str'&gt;</v>
    <v>str</v>
    <v>{"oil": {"C1": [0.007, "млн.т."], "D1": [0.3, "млн т"]}, "gas": {"C1": [0.588, "млрд. м3."]}}</v>
    <v>{"oil": {"C1": [0.007, "млн.т."], "D1": [0.3, "млн т"]}, "gas": {"C1": [0.588, "млрд. м3."]}}</v>
    <v>2</v>
  </rv>
  <rv s="4">
    <fb t="s">{"oil": {"D1": [0.4, "млн.т."], "D2": [1.8, "млн.т."]}, "gas": {"D1": [64.7, "млрд.мЗ"], "D2": [17.8, "млрд.мЗ"]}, "cond": {"D1": [3.9, "млн.т."], "D2": [1.1, "млн.т."]}}</fb>
    <v>&lt;class 'str'&gt;</v>
    <v>str</v>
    <v>{"oil": {"D1": [0.4, "млн.т."], "D2": [1.8, "млн.т."]}, "gas": {"D1": [64.7, "млрд.мЗ"], "D2": [17.8, "млрд.мЗ"]}, "cond": {"D1": [3.9, "млн.т."], "D2": [1.1, "млн.т."]}}</v>
    <v>{"oil": {"D1": [0.4, "млн.т."], "D2": [1.8, "млн.т."]}, "gas": {"D1": [64.7, "млрд.мЗ"], "D2": [17.8, "млрд.мЗ"]}, "cond": {"D1": [3.9, "млн.т."], "D2": [1.1, "млн.т."]}}</v>
    <v>2</v>
  </rv>
  <rv s="4">
    <fb t="s">{"oil": {"D1": [0.5, "млн.т."], "D2": [2.4, "млн.т."]}, "gas": {"D1": [84.0, "млрд.мЗ"], "D2": [2.0, "З.1"]}, "cond": {"D1": [5.0, "млн.т."], "D2": [1.5, "млн.т."]}}</fb>
    <v>&lt;class 'str'&gt;</v>
    <v>str</v>
    <v>{"oil": {"D1": [0.5, "млн.т."], "D2": [2.4, "млн.т."]}, "gas": {"D1": [84.0, "млрд.мЗ"], "D2": [2.0, "З.1"]}, "cond": {"D1": [5.0, "млн.т."], "D2": [1.5, "млн.т."]}}</v>
    <v>{"oil": {"D1": [0.5, "млн.т."], "D2": [2.4, "млн.т."]}, "gas": {"D1": [84.0, "млрд.мЗ"], "D2": [2.0, "З.1"]}, "cond": {"D1": [5.0, "млн.т."], "D2": [1.5, "млн.т."]}}</v>
    <v>2</v>
  </rv>
  <rv s="4">
    <fb t="s">{"oil": {"D1": [0.2, "млн.т."], "D2": [1.2, "млн.т."]}, "gas": {"D1": [42.2, "млрд.мЗ"], "D2": [11.6, "млрд.мЗ"]}, "cond": {"D1": [2.5, "млн.т."], "D2": [0.7, "млн.т."]}}</fb>
    <v>&lt;class 'str'&gt;</v>
    <v>str</v>
    <v>{"oil": {"D1": [0.2, "млн.т."], "D2": [1.2, "млн.т."]}, "gas": {"D1": [42.2, "млрд.мЗ"], "D2": [11.6, "млрд.мЗ"]}, "cond": {"D1": [2.5, "млн.т."], "D2": [0.7, "млн.т."]}}</v>
    <v>{"oil": {"D1": [0.2, "млн.т."], "D2": [1.2, "млн.т."]}, "gas": {"D1": [42.2, "млрд.мЗ"], "D2": [11.6, "млрд.мЗ"]}, "cond": {"D1": [2.5, "млн.т."], "D2": [0.7, "млн.т."]}}</v>
    <v>2</v>
  </rv>
  <rv s="4">
    <fb t="s">{"oil": {"D0": [2.904, "млн.т."]}}</fb>
    <v>&lt;class 'str'&gt;</v>
    <v>str</v>
    <v>{"oil": {"D0": [2.904, "млн.т."]}}</v>
    <v>{"oil": {"D0": [2.904, "млн.т."]}}</v>
    <v>2</v>
  </rv>
  <rv s="4">
    <fb t="s">{"oil": {"D0": [0.575, "млн.т."]}}</fb>
    <v>&lt;class 'str'&gt;</v>
    <v>str</v>
    <v>{"oil": {"D0": [0.575, "млн.т."]}}</v>
    <v>{"oil": {"D0": [0.575, "млн.т."]}}</v>
    <v>2</v>
  </rv>
  <rv s="4">
    <fb t="s">{"oil": {"D0": [2.008, "млн.т."], "Dл": [16.675, "млн.т."], "D1": [5.969, "млн.т."]}, "gas": {"Dл": [1.845, "млрд"], "D1": [1.704, "млрд.мЗ"]}, "cond": {"D1": [0.336, "млн.т"]}}</fb>
    <v>&lt;class 'str'&gt;</v>
    <v>str</v>
    <v>{"oil": {"D0": [2.008, "млн.т."], "Dл": [16.675, "млн.т."], "D1": [5.969, "млн.т."]}, "gas": {"Dл": [1.845, "млрд"], "D1": [1.704, "млрд.мЗ"]}, "cond": {"D1": [0.336, "млн.т"]}}</v>
    <v>{"oil": {"D0": [2.008, "млн.т."], "Dл": [16.675, "млн.т."], "D1": [5.969, "млн.т."]}, "gas": {"Dл": [1.845, "млрд"], "D1": [1.704, "млрд.мЗ"]}, "cond": {"D1": [0.336, "млн.т"]}}</v>
    <v>2</v>
  </rv>
  <rv s="4">
    <fb t="s">{"oil": {"Dл": [9.125, "млн.т."], "D1": [96.4, "млн.т"]}, "gas": {"Dл": [16.525, "млрд"], "D1": [51.309, "млрд.м3."]}, "cond": {"Dл": [1.297, "млн.т"]}}</fb>
    <v>&lt;class 'str'&gt;</v>
    <v>str</v>
    <v>{"oil": {"Dл": [9.125, "млн.т."], "D1": [96.4, "млн.т"]}, "gas": {"Dл": [16.525, "млрд"], "D1": [51.309, "млрд.м3."]}, "cond": {"Dл": [1.297, "млн.т"]}}</v>
    <v>{"oil": {"Dл": [9.125, "млн.т."], "D1": [96.4, "млн.т"]}, "gas": {"Dл": [16.525, "млрд"], "D1": [51.309, "млрд.м3."]}, "cond": {"Dл": [1.297, "млн.т"]}}</v>
    <v>2</v>
  </rv>
  <rv s="4">
    <fb t="s">{"oil": {"C1": [0.565, "млн.т"], "C2": [0.417, "млн.т"], "D1": [1.517, "млн.т"]}}</fb>
    <v>&lt;class 'str'&gt;</v>
    <v>str</v>
    <v>{"oil": {"C1": [0.565, "млн.т"], "C2": [0.417, "млн.т"], "D1": [1.517, "млн.т"]}}</v>
    <v>{"oil": {"C1": [0.565, "млн.т"], "C2": [0.417, "млн.т"], "D1": [1.517, "млн.т"]}}</v>
    <v>2</v>
  </rv>
  <rv s="4">
    <fb t="s">{"oil": {"C1": [0.296, "млн.т"]}}</fb>
    <v>&lt;class 'str'&gt;</v>
    <v>str</v>
    <v>{"oil": {"C1": [0.296, "млн.т"]}}</v>
    <v>{"oil": {"C1": [0.296, "млн.т"]}}</v>
    <v>2</v>
  </rv>
  <rv s="4">
    <fb t="s">{"oil": {"D1": [7.2, "млн.т"]}}</fb>
    <v>&lt;class 'str'&gt;</v>
    <v>str</v>
    <v>{"oil": {"D1": [7.2, "млн.т"]}}</v>
    <v>{"oil": {"D1": [7.2, "млн.т"]}}</v>
    <v>2</v>
  </rv>
  <rv s="4">
    <fb t="s">{"oil": {"D1": [2.1, "млн.т"]}}</fb>
    <v>&lt;class 'str'&gt;</v>
    <v>str</v>
    <v>{"oil": {"D1": [2.1, "млн.т"]}}</v>
    <v>{"oil": {"D1": [2.1, "млн.т"]}}</v>
    <v>2</v>
  </rv>
  <rv s="4">
    <fb t="s">{"oil": {"D1": [2.7, "млн.т"]}}</fb>
    <v>&lt;class 'str'&gt;</v>
    <v>str</v>
    <v>{"oil": {"D1": [2.7, "млн.т"]}}</v>
    <v>{"oil": {"D1": [2.7, "млн.т"]}}</v>
    <v>2</v>
  </rv>
  <rv s="4">
    <fb t="s">{"oil": {"Dл": [0.9, "млн.т."], "D1": [0.7, "млн.т."]}}</fb>
    <v>&lt;class 'str'&gt;</v>
    <v>str</v>
    <v>{"oil": {"Dл": [0.9, "млн.т."], "D1": [0.7, "млн.т."]}}</v>
    <v>{"oil": {"Dл": [0.9, "млн.т."], "D1": [0.7, "млн.т."]}}</v>
    <v>2</v>
  </rv>
  <rv s="4">
    <fb t="s">{"oil": {"Dл": [1.0, "млн.т."], "D1": [0.8, "млн.т."]}}</fb>
    <v>&lt;class 'str'&gt;</v>
    <v>str</v>
    <v>{"oil": {"Dл": [1.0, "млн.т."], "D1": [0.8, "млн.т."]}}</v>
    <v>{"oil": {"Dл": [1.0, "млн.т."], "D1": [0.8, "млн.т."]}}</v>
    <v>2</v>
  </rv>
  <rv s="4">
    <fb t="s">{"oil": {"Dл": [0.3, "млн.т."], "D1": [0.1, "млн.т"]}}</fb>
    <v>&lt;class 'str'&gt;</v>
    <v>str</v>
    <v>{"oil": {"Dл": [0.3, "млн.т."], "D1": [0.1, "млн.т"]}}</v>
    <v>{"oil": {"Dл": [0.3, "млн.т."], "D1": [0.1, "млн.т"]}}</v>
    <v>2</v>
  </rv>
  <rv s="4">
    <fb t="s">{"oil": {"Dл": [0.3, "млн.т."], "D1": [0.2, "млн.т."]}}</fb>
    <v>&lt;class 'str'&gt;</v>
    <v>str</v>
    <v>{"oil": {"Dл": [0.3, "млн.т."], "D1": [0.2, "млн.т."]}}</v>
    <v>{"oil": {"Dл": [0.3, "млн.т."], "D1": [0.2, "млн.т."]}}</v>
    <v>2</v>
  </rv>
  <rv s="4">
    <fb t="s">{"oil": {"Dл": [0.7, "млн.т."], "D1": [0.5, "млн.т."]}}</fb>
    <v>&lt;class 'str'&gt;</v>
    <v>str</v>
    <v>{"oil": {"Dл": [0.7, "млн.т."], "D1": [0.5, "млн.т."]}}</v>
    <v>{"oil": {"Dл": [0.7, "млн.т."], "D1": [0.5, "млн.т."]}}</v>
    <v>2</v>
  </rv>
  <rv s="4">
    <fb t="s">{"oil": {"Dл": [1.1, "млн.т."], "D1": [0.9, "млн.т."]}}</fb>
    <v>&lt;class 'str'&gt;</v>
    <v>str</v>
    <v>{"oil": {"Dл": [1.1, "млн.т."], "D1": [0.9, "млн.т."]}}</v>
    <v>{"oil": {"Dл": [1.1, "млн.т."], "D1": [0.9, "млн.т."]}}</v>
    <v>2</v>
  </rv>
  <rv s="4">
    <fb t="s">{"oil": {"Dл": [0.1, "млн. т."], "D1": [1.2, "млн.т."], "D2": [0.5, "млн.т."]}, "gas": {"D1": [0.5, "млрд. М3"], "D2": [0.2, "млрд. М3"]}}</fb>
    <v>&lt;class 'str'&gt;</v>
    <v>str</v>
    <v>{"oil": {"Dл": [0.1, "млн. т."], "D1": [1.2, "млн.т."], "D2": [0.5, "млн.т."]}, "gas": {"D1": [0.5, "млрд. М3"], "D2": [0.2, "млрд. М3"]}}</v>
    <v>{"oil": {"Dл": [0.1, "млн. т."], "D1": [1.2, "млн.т."], "D2": [0.5, "млн.т."]}, "gas": {"D1": [0.5, "млрд. М3"], "D2": [0.2, "млрд. М3"]}}</v>
    <v>2</v>
  </rv>
  <rv s="4">
    <fb t="s">{"oil": {"D0": [0.746, "млн. т"]}}</fb>
    <v>&lt;class 'str'&gt;</v>
    <v>str</v>
    <v>{"oil": {"D0": [0.746, "млн. т"]}}</v>
    <v>{"oil": {"D0": [0.746, "млн. т"]}}</v>
    <v>2</v>
  </rv>
  <rv s="4">
    <fb t="s">{"oil": {"D0": [0.35, "млн.т"], "Dл": [0.5, "млн.т."], "D1": [0.8, "млн.т."]}}</fb>
    <v>&lt;class 'str'&gt;</v>
    <v>str</v>
    <v>{"oil": {"D0": [0.35, "млн.т"], "Dл": [0.5, "млн.т."], "D1": [0.8, "млн.т."]}}</v>
    <v>{"oil": {"D0": [0.35, "млн.т"], "Dл": [0.5, "млн.т."], "D1": [0.8, "млн.т."]}}</v>
    <v>2</v>
  </rv>
  <rv s="4">
    <fb t="s">{"oil": {"Dл": [0.2, "млн.т."], "D1": [0.3, "млн. т."]}}</fb>
    <v>&lt;class 'str'&gt;</v>
    <v>str</v>
    <v>{"oil": {"Dл": [0.2, "млн.т."], "D1": [0.3, "млн. т."]}}</v>
    <v>{"oil": {"Dл": [0.2, "млн.т."], "D1": [0.3, "млн. т."]}}</v>
    <v>2</v>
  </rv>
  <rv s="4">
    <fb t="s">{"oil": {"Dл": [0.8, "млн.т."], "D1": [0.6, "млн. т."]}}</fb>
    <v>&lt;class 'str'&gt;</v>
    <v>str</v>
    <v>{"oil": {"Dл": [0.8, "млн.т."], "D1": [0.6, "млн. т."]}}</v>
    <v>{"oil": {"Dл": [0.8, "млн.т."], "D1": [0.6, "млн. т."]}}</v>
    <v>2</v>
  </rv>
  <rv s="4">
    <fb t="s">{"oil": {"C1": [1.22, "млн.т."]}}</fb>
    <v>&lt;class 'str'&gt;</v>
    <v>str</v>
    <v>{"oil": {"C1": [1.22, "млн.т."]}}</v>
    <v>{"oil": {"C1": [1.22, "млн.т."]}}</v>
    <v>2</v>
  </rv>
  <rv s="4">
    <fb t="s">{"gas": {"D1": [22.549, "млрд.мЗ"]}, "cond": {"D1": [2.505, "млн.т."]}}</fb>
    <v>&lt;class 'str'&gt;</v>
    <v>str</v>
    <v>{"gas": {"D1": [22.549, "млрд.мЗ"]}, "cond": {"D1": [2.505, "млн.т."]}}</v>
    <v>{"gas": {"D1": [22.549, "млрд.мЗ"]}, "cond": {"D1": [2.505, "млн.т."]}}</v>
    <v>2</v>
  </rv>
  <rv s="4">
    <fb t="s">{"gas": {"C1": [0.1, "39 млрд."], "C2": [0.522, "млрд.м3"]}, "cond": {"C1": [0.001, "млн.т."], "C2": [0.006, "млн.т."]}}</fb>
    <v>&lt;class 'str'&gt;</v>
    <v>str</v>
    <v>{"gas": {"C1": [0.1, "39 млрд."], "C2": [0.522, "млрд.м3"]}, "cond": {"C1": [0.001, "млн.т."], "C2": [0.006, "млн.т."]}}</v>
    <v>{"gas": {"C1": [0.1, "39 млрд."], "C2": [0.522, "млрд.м3"]}, "cond": {"C1": [0.001, "млн.т."], "C2": [0.006, "млн.т."]}}</v>
    <v>2</v>
  </rv>
  <rv s="4">
    <fb t="s">{"oil": {"D0": [23.312, "млн.т."]}, "gas": {"C1": [0.122, "млрд.мЗ"], "D0": [0.47, "млрд.мЗ"], "D1": [2.6, "млрд.м3"], "D2": [13.1, "млрд.мЗ"]}}</fb>
    <v>&lt;class 'str'&gt;</v>
    <v>str</v>
    <v>{"oil": {"D0": [23.312, "млн.т."]}, "gas": {"C1": [0.122, "млрд.мЗ"], "D0": [0.47, "млрд.мЗ"], "D1": [2.6, "млрд.м3"], "D2": [13.1, "млрд.мЗ"]}}</v>
    <v>{"oil": {"D0": [23.312, "млн.т."]}, "gas": {"C1": [0.122, "млрд.мЗ"], "D0": [0.47, "млрд.мЗ"], "D1": [2.6, "млрд.м3"], "D2": [13.1, "млрд.мЗ"]}}</v>
    <v>2</v>
  </rv>
  <rv s="4">
    <fb t="s">{"oil": {"Dл": [0.18, "млн.т"]}, "gas": {"Dл": [0.2, "млрд.мЗ"]}}</fb>
    <v>&lt;class 'str'&gt;</v>
    <v>str</v>
    <v>{"oil": {"Dл": [0.18, "млн.т"]}, "gas": {"Dл": [0.2, "млрд.мЗ"]}}</v>
    <v>{"oil": {"Dл": [0.18, "млн.т"]}, "gas": {"Dл": [0.2, "млрд.мЗ"]}}</v>
    <v>2</v>
  </rv>
  <rv s="4">
    <fb t="s">{"oil": {"Dл": [0.05, "млн. т"]}, "gas": {"Dл": [0.133, "млрд.м3"]}}</fb>
    <v>&lt;class 'str'&gt;</v>
    <v>str</v>
    <v>{"oil": {"Dл": [0.05, "млн. т"]}, "gas": {"Dл": [0.133, "млрд.м3"]}}</v>
    <v>{"oil": {"Dл": [0.05, "млн. т"]}, "gas": {"Dл": [0.133, "млрд.м3"]}}</v>
    <v>2</v>
  </rv>
  <rv s="4">
    <fb t="s">{"oil": {"D1": [9.1, "млн. т"], "D2": [0.4, "млн.т"]}, "gas": {"D1": [18.7, "млрд.мЗ"], "D2": [1.2, "млрд.мЗ"]}, "cond": {"D1": [0.5, "млн.т."]}}</fb>
    <v>&lt;class 'str'&gt;</v>
    <v>str</v>
    <v>{"oil": {"D1": [9.1, "млн. т"], "D2": [0.4, "млн.т"]}, "gas": {"D1": [18.7, "млрд.мЗ"], "D2": [1.2, "млрд.мЗ"]}, "cond": {"D1": [0.5, "млн.т."]}}</v>
    <v>{"oil": {"D1": [9.1, "млн. т"], "D2": [0.4, "млн.т"]}, "gas": {"D1": [18.7, "млрд.мЗ"], "D2": [1.2, "млрд.мЗ"]}, "cond": {"D1": [0.5, "млн.т."]}}</v>
    <v>2</v>
  </rv>
  <rv s="4">
    <fb t="s">{"oil": {"D2": [3.9, "млн.т"]}, "gas": {"D2": [5.8, "млрд.м3"]}, "cond": {"D2": [0.3, "млн.т."]}}</fb>
    <v>&lt;class 'str'&gt;</v>
    <v>str</v>
    <v>{"oil": {"D2": [3.9, "млн.т"]}, "gas": {"D2": [5.8, "млрд.м3"]}, "cond": {"D2": [0.3, "млн.т."]}}</v>
    <v>{"oil": {"D2": [3.9, "млн.т"]}, "gas": {"D2": [5.8, "млрд.м3"]}, "cond": {"D2": [0.3, "млн.т."]}}</v>
    <v>2</v>
  </rv>
  <rv s="4">
    <fb t="s">{"oil": {"D1": [6.0, "млн. т"], "D2": [2.5, "млн.т"]}, "gas": {"D1": [57.4, "млрд.мЗ"], "D2": [24.6, "млрд.мЗ"]}, "cond": {"D1": [3.4, "млн.т."], "D2": [1.4, "млн.т."]}}</fb>
    <v>&lt;class 'str'&gt;</v>
    <v>str</v>
    <v>{"oil": {"D1": [6.0, "млн. т"], "D2": [2.5, "млн.т"]}, "gas": {"D1": [57.4, "млрд.мЗ"], "D2": [24.6, "млрд.мЗ"]}, "cond": {"D1": [3.4, "млн.т."], "D2": [1.4, "млн.т."]}}</v>
    <v>{"oil": {"D1": [6.0, "млн. т"], "D2": [2.5, "млн.т"]}, "gas": {"D1": [57.4, "млрд.мЗ"], "D2": [24.6, "млрд.мЗ"]}, "cond": {"D1": [3.4, "млн.т."], "D2": [1.4, "млн.т."]}}</v>
    <v>2</v>
  </rv>
  <rv s="4">
    <fb t="s">{"oil": {"Dл": [7.2, "млн. т"]}, "gas": {"Dл": [107.19, "млрд. м3"]}}</fb>
    <v>&lt;class 'str'&gt;</v>
    <v>str</v>
    <v>{"oil": {"Dл": [7.2, "млн. т"]}, "gas": {"Dл": [107.19, "млрд. м3"]}}</v>
    <v>{"oil": {"Dл": [7.2, "млн. т"]}, "gas": {"Dл": [107.19, "млрд. м3"]}}</v>
    <v>2</v>
  </rv>
  <rv s="4">
    <fb t="s">{"oil": {"D2": [2.9, "млн.т"]}, "gas": {"Dл": [22.4, "млрд"]}, "cond": {"Dл": [0.7, "млн.т."]}}</fb>
    <v>&lt;class 'str'&gt;</v>
    <v>str</v>
    <v>{"oil": {"D2": [2.9, "млн.т"]}, "gas": {"Dл": [22.4, "млрд"]}, "cond": {"Dл": [0.7, "млн.т."]}}</v>
    <v>{"oil": {"D2": [2.9, "млн.т"]}, "gas": {"Dл": [22.4, "млрд"]}, "cond": {"Dл": [0.7, "млн.т."]}}</v>
    <v>2</v>
  </rv>
  <rv s="4">
    <fb t="s">{"oil": {"D2": [0.3, "млн.т"]}, "gas": {"D2": [14.7, "млрд.мЗ"]}}</fb>
    <v>&lt;class 'str'&gt;</v>
    <v>str</v>
    <v>{"oil": {"D2": [0.3, "млн.т"]}, "gas": {"D2": [14.7, "млрд.мЗ"]}}</v>
    <v>{"oil": {"D2": [0.3, "млн.т"]}, "gas": {"D2": [14.7, "млрд.мЗ"]}}</v>
    <v>2</v>
  </rv>
  <rv s="4">
    <fb t="s">{"oil": {"D2": [0.3, "млн.т"]}, "gas": {"D2": [13.8, "млрд.мЗ"]}}</fb>
    <v>&lt;class 'str'&gt;</v>
    <v>str</v>
    <v>{"oil": {"D2": [0.3, "млн.т"]}, "gas": {"D2": [13.8, "млрд.мЗ"]}}</v>
    <v>{"oil": {"D2": [0.3, "млн.т"]}, "gas": {"D2": [13.8, "млрд.мЗ"]}}</v>
    <v>2</v>
  </rv>
  <rv s="4">
    <fb t="s">{"gas": {"C1": [0.259, "млрд.мЗ"], "C2": [3.781, "млрд.м3"]}}</fb>
    <v>&lt;class 'str'&gt;</v>
    <v>str</v>
    <v>{"gas": {"C1": [0.259, "млрд.мЗ"], "C2": [3.781, "млрд.м3"]}}</v>
    <v>{"gas": {"C1": [0.259, "млрд.мЗ"], "C2": [3.781, "млрд.м3"]}}</v>
    <v>2</v>
  </rv>
  <rv s="4">
    <fb t="s">{"oil": {"D2": [0.2, "млн.т"]}, "gas": {"D2": [18.1, "млрд.м3"]}}</fb>
    <v>&lt;class 'str'&gt;</v>
    <v>str</v>
    <v>{"oil": {"D2": [0.2, "млн.т"]}, "gas": {"D2": [18.1, "млрд.м3"]}}</v>
    <v>{"oil": {"D2": [0.2, "млн.т"]}, "gas": {"D2": [18.1, "млрд.м3"]}}</v>
    <v>2</v>
  </rv>
  <rv s="4">
    <fb t="s">{"oil": {"D1": [5.9, "млн. т"], "D2": [0.7, "млн.т"]}, "gas": {"D1": [59.3, "млрд.мЗ"], "D2": [13.0, "млрд.мЗ"]}, "cond": {"D1": [3.2, "млн.т."], "D2": [0.8, "млн.т."]}}</fb>
    <v>&lt;class 'str'&gt;</v>
    <v>str</v>
    <v>{"oil": {"D1": [5.9, "млн. т"], "D2": [0.7, "млн.т"]}, "gas": {"D1": [59.3, "млрд.мЗ"], "D2": [13.0, "млрд.мЗ"]}, "cond": {"D1": [3.2, "млн.т."], "D2": [0.8, "млн.т."]}}</v>
    <v>{"oil": {"D1": [5.9, "млн. т"], "D2": [0.7, "млн.т"]}, "gas": {"D1": [59.3, "млрд.мЗ"], "D2": [13.0, "млрд.мЗ"]}, "cond": {"D1": [3.2, "млн.т."], "D2": [0.8, "млн.т."]}}</v>
    <v>2</v>
  </rv>
  <rv s="4">
    <fb t="s">{"gas": {"C1": [0.762, "млрд.мЗ"]}}</fb>
    <v>&lt;class 'str'&gt;</v>
    <v>str</v>
    <v>{"gas": {"C1": [0.762, "млрд.мЗ"]}}</v>
    <v>{"gas": {"C1": [0.762, "млрд.мЗ"]}}</v>
    <v>2</v>
  </rv>
  <rv s="4">
    <fb t="s">{"oil": {"B1": [0.087, "млн. т"], "B2": [0.024, "млн. т"], "D1": [0.5, "млн. т"]}}</fb>
    <v>&lt;class 'str'&gt;</v>
    <v>str</v>
    <v>{"oil": {"B1": [0.087, "млн. т"], "B2": [0.024, "млн. т"], "D1": [0.5, "млн. т"]}}</v>
    <v>{"oil": {"B1": [0.087, "млн. т"], "B2": [0.024, "млн. т"], "D1": [0.5, "млн. т"]}}</v>
    <v>2</v>
  </rv>
  <rv s="4">
    <fb t="s">{"oil": {"B1": [0.058, "млн.т"], "D1": [3.15, "млн. т"]}}</fb>
    <v>&lt;class 'str'&gt;</v>
    <v>str</v>
    <v>{"oil": {"B1": [0.058, "млн.т"], "D1": [3.15, "млн. т"]}}</v>
    <v>{"oil": {"B1": [0.058, "млн.т"], "D1": [3.15, "млн. т"]}}</v>
    <v>2</v>
  </rv>
  <rv s="4">
    <fb t="s">{"oil": {"Dл": [2.0, "млн.т."], "D1": [1.25, "млн.т"]}, "gas": {"D1": [0.1, "млрд.мЗ"]}}</fb>
    <v>&lt;class 'str'&gt;</v>
    <v>str</v>
    <v>{"oil": {"Dл": [2.0, "млн.т."], "D1": [1.25, "млн.т"]}, "gas": {"D1": [0.1, "млрд.мЗ"]}}</v>
    <v>{"oil": {"Dл": [2.0, "млн.т."], "D1": [1.25, "млн.т"]}, "gas": {"D1": [0.1, "млрд.мЗ"]}}</v>
    <v>2</v>
  </rv>
  <rv s="4">
    <fb t="s">{"oil": {"B1": [0.384, "млн. т"], "B2": [0.132, "млн.т"]}}</fb>
    <v>&lt;class 'str'&gt;</v>
    <v>str</v>
    <v>{"oil": {"B1": [0.384, "млн. т"], "B2": [0.132, "млн.т"]}}</v>
    <v>{"oil": {"B1": [0.384, "млн. т"], "B2": [0.132, "млн.т"]}}</v>
    <v>2</v>
  </rv>
  <rv s="4">
    <fb t="s">{"oil": {"B1": [0.253, "млн. Т"]}}</fb>
    <v>&lt;class 'str'&gt;</v>
    <v>str</v>
    <v>{"oil": {"B1": [0.253, "млн. Т"]}}</v>
    <v>{"oil": {"B1": [0.253, "млн. Т"]}}</v>
    <v>2</v>
  </rv>
  <rv s="4">
    <fb t="s">{"oil": {"B2": [0.043, "млн. т"]}, "gas": {"B2": [0.042, "млрд.мЗ"]}}</fb>
    <v>&lt;class 'str'&gt;</v>
    <v>str</v>
    <v>{"oil": {"B2": [0.043, "млн. т"]}, "gas": {"B2": [0.042, "млрд.мЗ"]}}</v>
    <v>{"oil": {"B2": [0.043, "млн. т"]}, "gas": {"B2": [0.042, "млрд.мЗ"]}}</v>
    <v>2</v>
  </rv>
  <rv s="4">
    <fb t="s">{"oil": {"C1": [0.579, "млн.т."], "D0": [1.815, "млн.т."]}}</fb>
    <v>&lt;class 'str'&gt;</v>
    <v>str</v>
    <v>{"oil": {"C1": [0.579, "млн.т."], "D0": [1.815, "млн.т."]}}</v>
    <v>{"oil": {"C1": [0.579, "млн.т."], "D0": [1.815, "млн.т."]}}</v>
    <v>2</v>
  </rv>
  <rv s="4">
    <fb t="s">{"oil": {"D1": [1.064, "млн т"]}}</fb>
    <v>&lt;class 'str'&gt;</v>
    <v>str</v>
    <v>{"oil": {"D1": [1.064, "млн т"]}}</v>
    <v>{"oil": {"D1": [1.064, "млн т"]}}</v>
    <v>2</v>
  </rv>
  <rv s="4">
    <fb t="s">{"oil": {"C1": [9.389, "млн. т."], "Dл": [0.361, "млн. т."], "D1": [8.8, "млн. т."], "D2": [0.5, "млн. т."]}}</fb>
    <v>&lt;class 'str'&gt;</v>
    <v>str</v>
    <v>{"oil": {"C1": [9.389, "млн. т."], "Dл": [0.361, "млн. т."], "D1": [8.8, "млн. т."], "D2": [0.5, "млн. т."]}}</v>
    <v>{"oil": {"C1": [9.389, "млн. т."], "Dл": [0.361, "млн. т."], "D1": [8.8, "млн. т."], "D2": [0.5, "млн. т."]}}</v>
    <v>2</v>
  </rv>
  <rv s="4">
    <fb t="s">{"oil": {"D1": [7.4, "млн т."], "D2": [0.5, "млн т."]}, "gas": {"D1": [0.2, "млрд м3"], "D2": [0.5, "млрд м3"]}}</fb>
    <v>&lt;class 'str'&gt;</v>
    <v>str</v>
    <v>{"oil": {"D1": [7.4, "млн т."], "D2": [0.5, "млн т."]}, "gas": {"D1": [0.2, "млрд м3"], "D2": [0.5, "млрд м3"]}}</v>
    <v>{"oil": {"D1": [7.4, "млн т."], "D2": [0.5, "млн т."]}, "gas": {"D1": [0.2, "млрд м3"], "D2": [0.5, "млрд м3"]}}</v>
    <v>2</v>
  </rv>
  <rv s="4">
    <fb t="s">{"oil": {"D0": [0.573, "млн.т."], "Dл": [0.695, "млн.т."], "D1": [7.3, "млн.т."], "D2": [5.0, "млн.т."]}, "gas": {"D2": [5.0, "млрд. м3."]}}</fb>
    <v>&lt;class 'str'&gt;</v>
    <v>str</v>
    <v>{"oil": {"D0": [0.573, "млн.т."], "Dл": [0.695, "млн.т."], "D1": [7.3, "млн.т."], "D2": [5.0, "млн.т."]}, "gas": {"D2": [5.0, "млрд. м3."]}}</v>
    <v>{"oil": {"D0": [0.573, "млн.т."], "Dл": [0.695, "млн.т."], "D1": [7.3, "млн.т."], "D2": [5.0, "млн.т."]}, "gas": {"D2": [5.0, "млрд. м3."]}}</v>
    <v>2</v>
  </rv>
  <rv s="4">
    <fb t="s">{"oil": {"D0": [2.338, "млн. т."], "Dл": [0.538, "млн.т."], "D1": [1.4, "млн.т."], "D2": [3.6, "млн.т."]}, "gas": {"D2": [5.0, "млрд. м3."]}}</fb>
    <v>&lt;class 'str'&gt;</v>
    <v>str</v>
    <v>{"oil": {"D0": [2.338, "млн. т."], "Dл": [0.538, "млн.т."], "D1": [1.4, "млн.т."], "D2": [3.6, "млн.т."]}, "gas": {"D2": [5.0, "млрд. м3."]}}</v>
    <v>{"oil": {"D0": [2.338, "млн. т."], "Dл": [0.538, "млн.т."], "D1": [1.4, "млн.т."], "D2": [3.6, "млн.т."]}, "gas": {"D2": [5.0, "млрд. м3."]}}</v>
    <v>2</v>
  </rv>
  <rv s="4">
    <fb t="s">{"oil": {"D0": [2.003, "млн т."], "Dл": [1.62, "млн т."], "D1": [8.0, "млн.т."], "D2": [0.3, "млн.т."]}, "gas": {"D1": [0.3, "млрд м3."], "D2": [0.7, "млрд м3."]}}</fb>
    <v>&lt;class 'str'&gt;</v>
    <v>str</v>
    <v>{"oil": {"D0": [2.003, "млн т."], "Dл": [1.62, "млн т."], "D1": [8.0, "млн.т."], "D2": [0.3, "млн.т."]}, "gas": {"D1": [0.3, "млрд м3."], "D2": [0.7, "млрд м3."]}}</v>
    <v>{"oil": {"D0": [2.003, "млн т."], "Dл": [1.62, "млн т."], "D1": [8.0, "млн.т."], "D2": [0.3, "млн.т."]}, "gas": {"D1": [0.3, "млрд м3."], "D2": [0.7, "млрд м3."]}}</v>
    <v>2</v>
  </rv>
  <rv s="4">
    <fb t="s">{"oil": {"D1": [1.5, "млн.т."], "D2": [4.0, "млн.т."]}, "gas": {"D2": [3.6, "млрд. м3."]}}</fb>
    <v>&lt;class 'str'&gt;</v>
    <v>str</v>
    <v>{"oil": {"D1": [1.5, "млн.т."], "D2": [4.0, "млн.т."]}, "gas": {"D2": [3.6, "млрд. м3."]}}</v>
    <v>{"oil": {"D1": [1.5, "млн.т."], "D2": [4.0, "млн.т."]}, "gas": {"D2": [3.6, "млрд. м3."]}}</v>
    <v>2</v>
  </rv>
  <rv s="4">
    <fb t="s">{"oil": {"D1": [5.8, "млн"], "D2": [0.3, "млн"]}, "gas": {"D1": [0.2, "млрд"], "D2": [0.4, "млрд"]}}</fb>
    <v>&lt;class 'str'&gt;</v>
    <v>str</v>
    <v>{"oil": {"D1": [5.8, "млн"], "D2": [0.3, "млн"]}, "gas": {"D1": [0.2, "млрд"], "D2": [0.4, "млрд"]}}</v>
    <v>{"oil": {"D1": [5.8, "млн"], "D2": [0.3, "млн"]}, "gas": {"D1": [0.2, "млрд"], "D2": [0.4, "млрд"]}}</v>
    <v>2</v>
  </rv>
  <rv s="4">
    <fb t="s">{"oil": {"D1": [2.0, "млн"], "D2": [5.0, "млн"]}, "gas": {"D2": [4.5, "млрд.м3"]}}</fb>
    <v>&lt;class 'str'&gt;</v>
    <v>str</v>
    <v>{"oil": {"D1": [2.0, "млн"], "D2": [5.0, "млн"]}, "gas": {"D2": [4.5, "млрд.м3"]}}</v>
    <v>{"oil": {"D1": [2.0, "млн"], "D2": [5.0, "млн"]}, "gas": {"D2": [4.5, "млрд.м3"]}}</v>
    <v>2</v>
  </rv>
  <rv s="4">
    <fb t="s">{"oil": {"A": [0.056, "млн.т"], "B1": [0.257, "млн.т"], "D0": [0.096, "млн.т"]}, "gas": {"A": [0.004, "млрд.м3"], "B1": [0.019, "млрд.мз"], "D0": [0.007, "млрд.мЗ"]}}</fb>
    <v>&lt;class 'str'&gt;</v>
    <v>str</v>
    <v>{"oil": {"A": [0.056, "млн.т"], "B1": [0.257, "млн.т"], "D0": [0.096, "млн.т"]}, "gas": {"A": [0.004, "млрд.м3"], "B1": [0.019, "млрд.мз"], "D0": [0.007, "млрд.мЗ"]}}</v>
    <v>{"oil": {"A": [0.056, "млн.т"], "B1": [0.257, "млн.т"], "D0": [0.096, "млн.т"]}, "gas": {"A": [0.004, "млрд.м3"], "B1": [0.019, "млрд.мз"], "D0": [0.007, "млрд.мЗ"]}}</v>
    <v>2</v>
  </rv>
  <rv s="4">
    <fb t="s">{"oil": {"C1": [9.389, "млн. т."], "D0": [0.919, "млн. т."]}}</fb>
    <v>&lt;class 'str'&gt;</v>
    <v>str</v>
    <v>{"oil": {"C1": [9.389, "млн. т."], "D0": [0.919, "млн. т."]}}</v>
    <v>{"oil": {"C1": [9.389, "млн. т."], "D0": [0.919, "млн. т."]}}</v>
    <v>2</v>
  </rv>
  <rv s="4">
    <fb t="s">{"oil": {"D0": [1.117, "млн.т."], "Dл": [3.976, "млн.т."], "D1": [0.3, "млн.т."]}, "gas": {"D1": [1.0, "млрд.мЗ"]}}</fb>
    <v>&lt;class 'str'&gt;</v>
    <v>str</v>
    <v>{"oil": {"D0": [1.117, "млн.т."], "Dл": [3.976, "млн.т."], "D1": [0.3, "млн.т."]}, "gas": {"D1": [1.0, "млрд.мЗ"]}}</v>
    <v>{"oil": {"D0": [1.117, "млн.т."], "Dл": [3.976, "млн.т."], "D1": [0.3, "млн.т."]}, "gas": {"D1": [1.0, "млрд.мЗ"]}}</v>
    <v>2</v>
  </rv>
  <rv s="4">
    <fb t="s">{"oil": {"D1": [4.4, "млн"], "D2": [0.2, "млн"]}, "gas": {"D1": [0.2, "млрд"], "D2": [0.3, "млрд"]}}</fb>
    <v>&lt;class 'str'&gt;</v>
    <v>str</v>
    <v>{"oil": {"D1": [4.4, "млн"], "D2": [0.2, "млн"]}, "gas": {"D1": [0.2, "млрд"], "D2": [0.3, "млрд"]}}</v>
    <v>{"oil": {"D1": [4.4, "млн"], "D2": [0.2, "млн"]}, "gas": {"D1": [0.2, "млрд"], "D2": [0.3, "млрд"]}}</v>
    <v>2</v>
  </rv>
  <rv s="4">
    <fb t="s">{"oil": {"D1": [5.6, "млн"], "D2": [0.3, "млн"]}, "gas": {"D1": [0.2, "млрд"], "D2": [0.4, "млрд"]}}</fb>
    <v>&lt;class 'str'&gt;</v>
    <v>str</v>
    <v>{"oil": {"D1": [5.6, "млн"], "D2": [0.3, "млн"]}, "gas": {"D1": [0.2, "млрд"], "D2": [0.4, "млрд"]}}</v>
    <v>{"oil": {"D1": [5.6, "млн"], "D2": [0.3, "млн"]}, "gas": {"D1": [0.2, "млрд"], "D2": [0.4, "млрд"]}}</v>
    <v>2</v>
  </rv>
  <rv s="4">
    <fb t="s">{"oil": {"D1": [4.2, "млн"], "D2": [0.8, "млн"]}, "gas": {"D1": [0.9, "млрд"], "D2": [0.3, "млрд"]}}</fb>
    <v>&lt;class 'str'&gt;</v>
    <v>str</v>
    <v>{"oil": {"D1": [4.2, "млн"], "D2": [0.8, "млн"]}, "gas": {"D1": [0.9, "млрд"], "D2": [0.3, "млрд"]}}</v>
    <v>{"oil": {"D1": [4.2, "млн"], "D2": [0.8, "млн"]}, "gas": {"D1": [0.9, "млрд"], "D2": [0.3, "млрд"]}}</v>
    <v>2</v>
  </rv>
  <rv s="4">
    <fb t="s">{"oil": {"Dл": [0.3, "млн"], "D1": [0.1, "млн"], "D2": [0.8, "млн"]}, "gas": {"D1": [5.1, "млрд"], "D2": [0.6, "млрд"]}}</fb>
    <v>&lt;class 'str'&gt;</v>
    <v>str</v>
    <v>{"oil": {"Dл": [0.3, "млн"], "D1": [0.1, "млн"], "D2": [0.8, "млн"]}, "gas": {"D1": [5.1, "млрд"], "D2": [0.6, "млрд"]}}</v>
    <v>{"oil": {"Dл": [0.3, "млн"], "D1": [0.1, "млн"], "D2": [0.8, "млн"]}, "gas": {"D1": [5.1, "млрд"], "D2": [0.6, "млрд"]}}</v>
    <v>2</v>
  </rv>
  <rv s="4">
    <fb t="s">{"oil": {"D0": [8.563, "млн"], "D1": [2.3, "млн"], "D2": [0.6, "млн"]}, "gas": {"D1": [2.5, "млрд"], "D2": [0.4, "млрд"]}}</fb>
    <v>&lt;class 'str'&gt;</v>
    <v>str</v>
    <v>{"oil": {"D0": [8.563, "млн"], "D1": [2.3, "млн"], "D2": [0.6, "млн"]}, "gas": {"D1": [2.5, "млрд"], "D2": [0.4, "млрд"]}}</v>
    <v>{"oil": {"D0": [8.563, "млн"], "D1": [2.3, "млн"], "D2": [0.6, "млн"]}, "gas": {"D1": [2.5, "млрд"], "D2": [0.4, "млрд"]}}</v>
    <v>2</v>
  </rv>
  <rv s="4">
    <fb t="s">{"oil": {"D0": [0.665, "млн"], "D1": [1.2, "млн"], "D2": [0.3, "млн"]}, "gas": {"D1": [0.2, "млрд"], "D2": [0.6, "млрд"]}}</fb>
    <v>&lt;class 'str'&gt;</v>
    <v>str</v>
    <v>{"oil": {"D0": [0.665, "млн"], "D1": [1.2, "млн"], "D2": [0.3, "млн"]}, "gas": {"D1": [0.2, "млрд"], "D2": [0.6, "млрд"]}}</v>
    <v>{"oil": {"D0": [0.665, "млн"], "D1": [1.2, "млн"], "D2": [0.3, "млн"]}, "gas": {"D1": [0.2, "млрд"], "D2": [0.6, "млрд"]}}</v>
    <v>2</v>
  </rv>
  <rv s="4">
    <fb t="s">{"oil": {"D0": [1.08, "млн"], "Dл": [0.5, "млн"], "D1": [1.0, "млн"], "D2": [0.3, "млн"]}, "gas": {"D1": [0.3, "млрд"], "D2": [0.8, "млрд"]}}</fb>
    <v>&lt;class 'str'&gt;</v>
    <v>str</v>
    <v>{"oil": {"D0": [1.08, "млн"], "Dл": [0.5, "млн"], "D1": [1.0, "млн"], "D2": [0.3, "млн"]}, "gas": {"D1": [0.3, "млрд"], "D2": [0.8, "млрд"]}}</v>
    <v>{"oil": {"D0": [1.08, "млн"], "Dл": [0.5, "млн"], "D1": [1.0, "млн"], "D2": [0.3, "млн"]}, "gas": {"D1": [0.3, "млрд"], "D2": [0.8, "млрд"]}}</v>
    <v>2</v>
  </rv>
  <rv s="4">
    <fb t="s">{"oil": {"D1": [1.2, "млн"], "D2": [0.3, "млн"]}, "gas": {"D1": [0.2, "млрд"], "D2": [0.4, "млрд"]}}</fb>
    <v>&lt;class 'str'&gt;</v>
    <v>str</v>
    <v>{"oil": {"D1": [1.2, "млн"], "D2": [0.3, "млн"]}, "gas": {"D1": [0.2, "млрд"], "D2": [0.4, "млрд"]}}</v>
    <v>{"oil": {"D1": [1.2, "млн"], "D2": [0.3, "млн"]}, "gas": {"D1": [0.2, "млрд"], "D2": [0.4, "млрд"]}}</v>
    <v>2</v>
  </rv>
  <rv s="4">
    <fb t="s">{"oil": {"D0": [0.361, "млнт"], "Dл": [1.9, "млн.т"], "D1": [4.0, "млн т"], "D2": [7.842, "млн т"]}, "gas": {"D1": [13.645, "млрд м3"], "D2": [19.972, "млрд м3"]}, "cond": {"D1": [2.096, "млн т"], "D2": [1.097, "млн т"]}}</fb>
    <v>&lt;class 'str'&gt;</v>
    <v>str</v>
    <v>{"oil": {"D0": [0.361, "млнт"], "Dл": [1.9, "млн.т"], "D1": [4.0, "млн т"], "D2": [7.842, "млн т"]}, "gas": {"D1": [13.645, "млрд м3"], "D2": [19.972, "млрд м3"]}, "cond": {"D1": [2.096, "млн т"], "D2": [1.097, "млн т"]}}</v>
    <v>{"oil": {"D0": [0.361, "млнт"], "Dл": [1.9, "млн.т"], "D1": [4.0, "млн т"], "D2": [7.842, "млн т"]}, "gas": {"D1": [13.645, "млрд м3"], "D2": [19.972, "млрд м3"]}, "cond": {"D1": [2.096, "млн т"], "D2": [1.097, "млн т"]}}</v>
    <v>2</v>
  </rv>
  <rv s="4">
    <fb t="s">{"oil": {"AB1": [0.001, "млн.т."]}}</fb>
    <v>&lt;class 'str'&gt;</v>
    <v>str</v>
    <v>{"oil": {"AB1": [0.001, "млн.т."]}}</v>
    <v>{"oil": {"AB1": [0.001, "млн.т."]}}</v>
    <v>2</v>
  </rv>
  <rv s="4">
    <fb t="s">{"oil": {"AB1": [0.009, "млн.т."]}}</fb>
    <v>&lt;class 'str'&gt;</v>
    <v>str</v>
    <v>{"oil": {"AB1": [0.009, "млн.т."]}}</v>
    <v>{"oil": {"AB1": [0.009, "млн.т."]}}</v>
    <v>2</v>
  </rv>
</rvData>
</file>

<file path=xl/richData/rdrichvaluestructure.xml><?xml version="1.0" encoding="utf-8"?>
<rvStructures xmlns="http://schemas.microsoft.com/office/spreadsheetml/2017/richdata" count="5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  <s t="_python">
    <k n="Python_type" t="s"/>
    <k n="Python_typeName" t="s"/>
    <k n="Python_str" t="s"/>
    <k n="basicValue" t="s"/>
    <k n="_Provider" t="spb"/>
  </s>
</rvStructures>
</file>

<file path=xl/richData/rdsupportingpropertybag.xml><?xml version="1.0" encoding="utf-8"?>
<supportingPropertyBags xmlns="http://schemas.microsoft.com/office/spreadsheetml/2017/richdata2">
  <spbData count="7">
    <spb s="0">
      <v>150</v>
      <v>5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  <spb s="0">
      <v>8</v>
      <v>4</v>
      <v>DataFrame</v>
      <v>arrayPreview</v>
      <v>1</v>
    </spb>
    <spb s="1">
      <v>3</v>
    </spb>
    <spb s="0">
      <v>3</v>
      <v>1</v>
      <v>Series</v>
      <v>arrayPreview</v>
      <v>1</v>
    </spb>
    <spb s="1">
      <v>5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4C62D-6BCF-43B0-A6F6-FEB008CD6970}" name="IrisDataSet" displayName="IrisDataSet" ref="A4:E154" totalsRowShown="0" headerRowDxfId="6" dataDxfId="5">
  <autoFilter ref="A4:E154" xr:uid="{580B87F7-BEC5-4357-81A3-6952DEF91C64}"/>
  <tableColumns count="5">
    <tableColumn id="1" xr3:uid="{EDF4828C-989F-4927-B396-4D6825CA1350}" name="sepal_length" dataDxfId="4"/>
    <tableColumn id="2" xr3:uid="{561172AE-8808-4548-AA98-D83AF0A20D07}" name="sepal_width" dataDxfId="3"/>
    <tableColumn id="3" xr3:uid="{D01517D1-250E-4C6A-86FA-84055167EC54}" name="petal_length" dataDxfId="2"/>
    <tableColumn id="4" xr3:uid="{A5213DE3-2725-43E4-82F8-F880B868E477}" name="petal_width" dataDxfId="1"/>
    <tableColumn id="5" xr3:uid="{2D1DF8E5-3DFF-41F6-94DC-98BEA2F452C0}" name="speci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21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2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7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3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8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7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71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2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6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29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1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24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2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7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0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5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3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8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6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1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9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4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22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27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0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5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3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8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6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4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9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8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1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72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2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7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25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3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8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6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9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7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20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1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4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2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70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5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23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28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6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9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7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0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1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4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2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0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65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4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9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3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18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9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34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0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Relationship Id="rId55" Type="http://schemas.openxmlformats.org/officeDocument/2006/relationships/hyperlink" Target="https://rosnedra.gov.ru/activity/informatsionnye-resursy-i-programmy/prog2noznyy-perechen-uchastkov-nedr-uglevodorodnogo-syrya-auktsiony-po-kotorym-planiruetsya-provesti-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44F8-FDC8-441C-9149-01DAD860EB61}">
  <dimension ref="A1:J155"/>
  <sheetViews>
    <sheetView zoomScaleNormal="100" workbookViewId="0">
      <selection activeCell="H9" sqref="H9:H12"/>
    </sheetView>
  </sheetViews>
  <sheetFormatPr defaultRowHeight="15" x14ac:dyDescent="0.25"/>
  <cols>
    <col min="1" max="1" width="13.7109375" style="24" bestFit="1" customWidth="1"/>
    <col min="2" max="2" width="13.140625" style="24" bestFit="1" customWidth="1"/>
    <col min="3" max="3" width="13.42578125" style="24" bestFit="1" customWidth="1"/>
    <col min="4" max="4" width="12.85546875" style="24" bestFit="1" customWidth="1"/>
    <col min="5" max="5" width="9.5703125" style="24" bestFit="1" customWidth="1"/>
    <col min="6" max="6" width="9.140625" style="24"/>
    <col min="7" max="10" width="32.85546875" style="24" customWidth="1"/>
    <col min="11" max="16384" width="9.140625" style="24"/>
  </cols>
  <sheetData>
    <row r="1" spans="1:10" ht="24" x14ac:dyDescent="0.4">
      <c r="A1" s="45" t="s">
        <v>255</v>
      </c>
      <c r="B1" s="45"/>
      <c r="C1" s="45"/>
      <c r="D1" s="45"/>
      <c r="E1" s="45"/>
      <c r="F1" s="45"/>
      <c r="G1" s="45"/>
    </row>
    <row r="3" spans="1:10" ht="24" x14ac:dyDescent="0.4">
      <c r="A3" s="30" t="s">
        <v>254</v>
      </c>
      <c r="B3" s="29"/>
      <c r="C3" s="28"/>
      <c r="G3" s="41" t="s">
        <v>253</v>
      </c>
      <c r="H3" s="41"/>
    </row>
    <row r="4" spans="1:10" x14ac:dyDescent="0.25">
      <c r="A4" s="24" t="s">
        <v>252</v>
      </c>
      <c r="B4" s="24" t="s">
        <v>251</v>
      </c>
      <c r="C4" s="24" t="s">
        <v>250</v>
      </c>
      <c r="D4" s="24" t="s">
        <v>249</v>
      </c>
      <c r="E4" s="24" t="s">
        <v>248</v>
      </c>
      <c r="G4" s="27" t="s">
        <v>247</v>
      </c>
      <c r="H4" s="26" t="s">
        <v>246</v>
      </c>
      <c r="I4" s="26" t="s">
        <v>245</v>
      </c>
      <c r="J4" s="25" t="s">
        <v>244</v>
      </c>
    </row>
    <row r="5" spans="1:10" x14ac:dyDescent="0.25">
      <c r="A5" s="24">
        <v>5.0999999999999996</v>
      </c>
      <c r="B5" s="24">
        <v>3.5</v>
      </c>
      <c r="C5" s="24">
        <v>1.4</v>
      </c>
      <c r="D5" s="24">
        <v>0.2</v>
      </c>
      <c r="E5" s="24" t="s">
        <v>233</v>
      </c>
      <c r="G5" s="44" t="s">
        <v>243</v>
      </c>
      <c r="H5" s="35" t="e" cm="1" vm="1">
        <f t="array" ref="H5">_xlfn._xlws.PY(0,1,IrisDataSet[#All])</f>
        <v>#VALUE!</v>
      </c>
      <c r="I5" s="36" t="s">
        <v>242</v>
      </c>
      <c r="J5" s="37"/>
    </row>
    <row r="6" spans="1:10" x14ac:dyDescent="0.25">
      <c r="A6" s="24">
        <v>4.9000000000000004</v>
      </c>
      <c r="B6" s="24">
        <v>3</v>
      </c>
      <c r="C6" s="24">
        <v>1.4</v>
      </c>
      <c r="D6" s="24">
        <v>0.2</v>
      </c>
      <c r="E6" s="24" t="s">
        <v>233</v>
      </c>
      <c r="G6" s="44"/>
      <c r="H6" s="35"/>
      <c r="I6" s="36"/>
      <c r="J6" s="37"/>
    </row>
    <row r="7" spans="1:10" x14ac:dyDescent="0.25">
      <c r="A7" s="24">
        <v>4.7</v>
      </c>
      <c r="B7" s="24">
        <v>3.2</v>
      </c>
      <c r="C7" s="24">
        <v>1.3</v>
      </c>
      <c r="D7" s="24">
        <v>0.2</v>
      </c>
      <c r="E7" s="24" t="s">
        <v>233</v>
      </c>
      <c r="G7" s="44"/>
      <c r="H7" s="35"/>
      <c r="I7" s="36"/>
      <c r="J7" s="37"/>
    </row>
    <row r="8" spans="1:10" x14ac:dyDescent="0.25">
      <c r="A8" s="24">
        <v>4.5999999999999996</v>
      </c>
      <c r="B8" s="24">
        <v>3.1</v>
      </c>
      <c r="C8" s="24">
        <v>1.5</v>
      </c>
      <c r="D8" s="24">
        <v>0.2</v>
      </c>
      <c r="E8" s="24" t="s">
        <v>233</v>
      </c>
      <c r="G8" s="44"/>
      <c r="H8" s="35"/>
      <c r="I8" s="36"/>
      <c r="J8" s="37"/>
    </row>
    <row r="9" spans="1:10" x14ac:dyDescent="0.25">
      <c r="A9" s="24">
        <v>5</v>
      </c>
      <c r="B9" s="24">
        <v>3.6</v>
      </c>
      <c r="C9" s="24">
        <v>1.4</v>
      </c>
      <c r="D9" s="24">
        <v>0.2</v>
      </c>
      <c r="E9" s="24" t="s">
        <v>233</v>
      </c>
      <c r="G9" s="43" t="s">
        <v>241</v>
      </c>
      <c r="H9" s="35" t="e" cm="1" vm="2">
        <f t="array" ref="H9">_xlfn._xlws.PY(1,1)</f>
        <v>#VALUE!</v>
      </c>
      <c r="I9" s="36" t="s">
        <v>240</v>
      </c>
      <c r="J9" s="37"/>
    </row>
    <row r="10" spans="1:10" x14ac:dyDescent="0.25">
      <c r="A10" s="24">
        <v>5.4</v>
      </c>
      <c r="B10" s="24">
        <v>3.9</v>
      </c>
      <c r="C10" s="24">
        <v>1.7</v>
      </c>
      <c r="D10" s="24">
        <v>0.4</v>
      </c>
      <c r="E10" s="24" t="s">
        <v>233</v>
      </c>
      <c r="G10" s="44"/>
      <c r="H10" s="35"/>
      <c r="I10" s="36"/>
      <c r="J10" s="37"/>
    </row>
    <row r="11" spans="1:10" x14ac:dyDescent="0.25">
      <c r="A11" s="24">
        <v>4.5999999999999996</v>
      </c>
      <c r="B11" s="24">
        <v>3.4</v>
      </c>
      <c r="C11" s="24">
        <v>1.4</v>
      </c>
      <c r="D11" s="24">
        <v>0.3</v>
      </c>
      <c r="E11" s="24" t="s">
        <v>233</v>
      </c>
      <c r="G11" s="44"/>
      <c r="H11" s="35"/>
      <c r="I11" s="36"/>
      <c r="J11" s="37"/>
    </row>
    <row r="12" spans="1:10" x14ac:dyDescent="0.25">
      <c r="A12" s="24">
        <v>5</v>
      </c>
      <c r="B12" s="24">
        <v>3.4</v>
      </c>
      <c r="C12" s="24">
        <v>1.5</v>
      </c>
      <c r="D12" s="24">
        <v>0.2</v>
      </c>
      <c r="E12" s="24" t="s">
        <v>233</v>
      </c>
      <c r="G12" s="44"/>
      <c r="H12" s="35"/>
      <c r="I12" s="36"/>
      <c r="J12" s="37"/>
    </row>
    <row r="13" spans="1:10" x14ac:dyDescent="0.25">
      <c r="A13" s="24">
        <v>4.4000000000000004</v>
      </c>
      <c r="B13" s="24">
        <v>2.9</v>
      </c>
      <c r="C13" s="24">
        <v>1.4</v>
      </c>
      <c r="D13" s="24">
        <v>0.2</v>
      </c>
      <c r="E13" s="24" t="s">
        <v>233</v>
      </c>
      <c r="G13" s="43" t="s">
        <v>239</v>
      </c>
      <c r="H13" s="35" t="e" cm="1" vm="3">
        <f t="array" ref="H13">_xlfn._xlws.PY(2,1)</f>
        <v>#VALUE!</v>
      </c>
      <c r="I13" s="36" t="s">
        <v>238</v>
      </c>
      <c r="J13" s="42"/>
    </row>
    <row r="14" spans="1:10" x14ac:dyDescent="0.25">
      <c r="A14" s="24">
        <v>4.9000000000000004</v>
      </c>
      <c r="B14" s="24">
        <v>3.1</v>
      </c>
      <c r="C14" s="24">
        <v>1.5</v>
      </c>
      <c r="D14" s="24">
        <v>0.1</v>
      </c>
      <c r="E14" s="24" t="s">
        <v>233</v>
      </c>
      <c r="G14" s="44"/>
      <c r="H14" s="35"/>
      <c r="I14" s="36"/>
      <c r="J14" s="42"/>
    </row>
    <row r="15" spans="1:10" x14ac:dyDescent="0.25">
      <c r="A15" s="24">
        <v>5.4</v>
      </c>
      <c r="B15" s="24">
        <v>3.7</v>
      </c>
      <c r="C15" s="24">
        <v>1.5</v>
      </c>
      <c r="D15" s="24">
        <v>0.2</v>
      </c>
      <c r="E15" s="24" t="s">
        <v>233</v>
      </c>
      <c r="G15" s="44"/>
      <c r="H15" s="35"/>
      <c r="I15" s="36"/>
      <c r="J15" s="42"/>
    </row>
    <row r="16" spans="1:10" x14ac:dyDescent="0.25">
      <c r="A16" s="24">
        <v>4.8</v>
      </c>
      <c r="B16" s="24">
        <v>3.4</v>
      </c>
      <c r="C16" s="24">
        <v>1.6</v>
      </c>
      <c r="D16" s="24">
        <v>0.2</v>
      </c>
      <c r="E16" s="24" t="s">
        <v>233</v>
      </c>
      <c r="G16" s="44"/>
      <c r="H16" s="35"/>
      <c r="I16" s="36"/>
      <c r="J16" s="42"/>
    </row>
    <row r="17" spans="1:10" x14ac:dyDescent="0.25">
      <c r="A17" s="24">
        <v>4.8</v>
      </c>
      <c r="B17" s="24">
        <v>3</v>
      </c>
      <c r="C17" s="24">
        <v>1.4</v>
      </c>
      <c r="D17" s="24">
        <v>0.1</v>
      </c>
      <c r="E17" s="24" t="s">
        <v>233</v>
      </c>
      <c r="G17" s="44"/>
      <c r="H17" s="35"/>
      <c r="I17" s="36"/>
      <c r="J17" s="42"/>
    </row>
    <row r="18" spans="1:10" x14ac:dyDescent="0.25">
      <c r="A18" s="24">
        <v>4.3</v>
      </c>
      <c r="B18" s="24">
        <v>3</v>
      </c>
      <c r="C18" s="24">
        <v>1.1000000000000001</v>
      </c>
      <c r="D18" s="24">
        <v>0.1</v>
      </c>
      <c r="E18" s="24" t="s">
        <v>233</v>
      </c>
      <c r="G18" s="43" t="s">
        <v>237</v>
      </c>
      <c r="H18" s="44" t="e" cm="1" vm="4">
        <f t="array" ref="H18">_xlfn._xlws.PY(3,0)</f>
        <v>#VALUE!</v>
      </c>
      <c r="I18" s="36" t="s">
        <v>236</v>
      </c>
      <c r="J18" s="37"/>
    </row>
    <row r="19" spans="1:10" x14ac:dyDescent="0.25">
      <c r="A19" s="24">
        <v>5.8</v>
      </c>
      <c r="B19" s="24">
        <v>4</v>
      </c>
      <c r="C19" s="24">
        <v>1.2</v>
      </c>
      <c r="D19" s="24">
        <v>0.2</v>
      </c>
      <c r="E19" s="24" t="s">
        <v>233</v>
      </c>
      <c r="G19" s="44"/>
      <c r="H19" s="44"/>
      <c r="I19" s="36"/>
      <c r="J19" s="37"/>
    </row>
    <row r="20" spans="1:10" x14ac:dyDescent="0.25">
      <c r="A20" s="24">
        <v>5.7</v>
      </c>
      <c r="B20" s="24">
        <v>4.4000000000000004</v>
      </c>
      <c r="C20" s="24">
        <v>1.5</v>
      </c>
      <c r="D20" s="24">
        <v>0.4</v>
      </c>
      <c r="E20" s="24" t="s">
        <v>233</v>
      </c>
      <c r="G20" s="44"/>
      <c r="H20" s="44"/>
      <c r="I20" s="36"/>
      <c r="J20" s="37"/>
    </row>
    <row r="21" spans="1:10" x14ac:dyDescent="0.25">
      <c r="A21" s="24">
        <v>5.4</v>
      </c>
      <c r="B21" s="24">
        <v>3.9</v>
      </c>
      <c r="C21" s="24">
        <v>1.3</v>
      </c>
      <c r="D21" s="24">
        <v>0.4</v>
      </c>
      <c r="E21" s="24" t="s">
        <v>233</v>
      </c>
      <c r="G21" s="44"/>
      <c r="H21" s="44"/>
      <c r="I21" s="36"/>
      <c r="J21" s="37"/>
    </row>
    <row r="22" spans="1:10" x14ac:dyDescent="0.25">
      <c r="A22" s="24">
        <v>5.0999999999999996</v>
      </c>
      <c r="B22" s="24">
        <v>3.5</v>
      </c>
      <c r="C22" s="24">
        <v>1.4</v>
      </c>
      <c r="D22" s="24">
        <v>0.3</v>
      </c>
      <c r="E22" s="24" t="s">
        <v>233</v>
      </c>
      <c r="G22" s="44"/>
      <c r="H22" s="44"/>
      <c r="I22" s="36"/>
      <c r="J22" s="37"/>
    </row>
    <row r="23" spans="1:10" x14ac:dyDescent="0.25">
      <c r="A23" s="24">
        <v>5.7</v>
      </c>
      <c r="B23" s="24">
        <v>3.8</v>
      </c>
      <c r="C23" s="24">
        <v>1.7</v>
      </c>
      <c r="D23" s="24">
        <v>0.3</v>
      </c>
      <c r="E23" s="24" t="s">
        <v>233</v>
      </c>
      <c r="G23" s="44"/>
      <c r="H23" s="44"/>
      <c r="I23" s="36"/>
      <c r="J23" s="37"/>
    </row>
    <row r="24" spans="1:10" x14ac:dyDescent="0.25">
      <c r="A24" s="24">
        <v>5.0999999999999996</v>
      </c>
      <c r="B24" s="24">
        <v>3.8</v>
      </c>
      <c r="C24" s="24">
        <v>1.5</v>
      </c>
      <c r="D24" s="24">
        <v>0.3</v>
      </c>
      <c r="E24" s="24" t="s">
        <v>233</v>
      </c>
      <c r="G24" s="44"/>
      <c r="H24" s="44"/>
      <c r="I24" s="36"/>
      <c r="J24" s="37"/>
    </row>
    <row r="25" spans="1:10" x14ac:dyDescent="0.25">
      <c r="A25" s="24">
        <v>5.4</v>
      </c>
      <c r="B25" s="24">
        <v>3.4</v>
      </c>
      <c r="C25" s="24">
        <v>1.7</v>
      </c>
      <c r="D25" s="24">
        <v>0.2</v>
      </c>
      <c r="E25" s="24" t="s">
        <v>233</v>
      </c>
      <c r="G25" s="44"/>
      <c r="H25" s="44"/>
      <c r="I25" s="36"/>
      <c r="J25" s="37"/>
    </row>
    <row r="26" spans="1:10" x14ac:dyDescent="0.25">
      <c r="A26" s="24">
        <v>5.0999999999999996</v>
      </c>
      <c r="B26" s="24">
        <v>3.7</v>
      </c>
      <c r="C26" s="24">
        <v>1.5</v>
      </c>
      <c r="D26" s="24">
        <v>0.4</v>
      </c>
      <c r="E26" s="24" t="s">
        <v>233</v>
      </c>
      <c r="G26" s="44"/>
      <c r="H26" s="44"/>
      <c r="I26" s="36"/>
      <c r="J26" s="37"/>
    </row>
    <row r="27" spans="1:10" x14ac:dyDescent="0.25">
      <c r="A27" s="24">
        <v>4.5999999999999996</v>
      </c>
      <c r="B27" s="24">
        <v>3.6</v>
      </c>
      <c r="C27" s="24">
        <v>1</v>
      </c>
      <c r="D27" s="24">
        <v>0.2</v>
      </c>
      <c r="E27" s="24" t="s">
        <v>233</v>
      </c>
      <c r="G27" s="44" t="s">
        <v>235</v>
      </c>
      <c r="H27" s="35" t="e" cm="1" vm="5">
        <f t="array" ref="H27">_xlfn._xlws.PY(4,0)</f>
        <v>#VALUE!</v>
      </c>
      <c r="I27" s="36" t="s">
        <v>234</v>
      </c>
      <c r="J27" s="38"/>
    </row>
    <row r="28" spans="1:10" x14ac:dyDescent="0.25">
      <c r="A28" s="24">
        <v>5.0999999999999996</v>
      </c>
      <c r="B28" s="24">
        <v>3.3</v>
      </c>
      <c r="C28" s="24">
        <v>1.7</v>
      </c>
      <c r="D28" s="24">
        <v>0.5</v>
      </c>
      <c r="E28" s="24" t="s">
        <v>233</v>
      </c>
      <c r="G28" s="44"/>
      <c r="H28" s="35"/>
      <c r="I28" s="36"/>
      <c r="J28" s="39"/>
    </row>
    <row r="29" spans="1:10" x14ac:dyDescent="0.25">
      <c r="A29" s="24">
        <v>4.8</v>
      </c>
      <c r="B29" s="24">
        <v>3.4</v>
      </c>
      <c r="C29" s="24">
        <v>1.9</v>
      </c>
      <c r="D29" s="24">
        <v>0.2</v>
      </c>
      <c r="E29" s="24" t="s">
        <v>233</v>
      </c>
      <c r="G29" s="44"/>
      <c r="H29" s="35"/>
      <c r="I29" s="36"/>
      <c r="J29" s="39"/>
    </row>
    <row r="30" spans="1:10" x14ac:dyDescent="0.25">
      <c r="A30" s="24">
        <v>5</v>
      </c>
      <c r="B30" s="24">
        <v>3</v>
      </c>
      <c r="C30" s="24">
        <v>1.6</v>
      </c>
      <c r="D30" s="24">
        <v>0.2</v>
      </c>
      <c r="E30" s="24" t="s">
        <v>233</v>
      </c>
      <c r="G30" s="44"/>
      <c r="H30" s="35"/>
      <c r="I30" s="36"/>
      <c r="J30" s="39"/>
    </row>
    <row r="31" spans="1:10" x14ac:dyDescent="0.25">
      <c r="A31" s="24">
        <v>5</v>
      </c>
      <c r="B31" s="24">
        <v>3.4</v>
      </c>
      <c r="C31" s="24">
        <v>1.6</v>
      </c>
      <c r="D31" s="24">
        <v>0.4</v>
      </c>
      <c r="E31" s="24" t="s">
        <v>233</v>
      </c>
      <c r="G31" s="44"/>
      <c r="H31" s="35"/>
      <c r="I31" s="36"/>
      <c r="J31" s="39"/>
    </row>
    <row r="32" spans="1:10" x14ac:dyDescent="0.25">
      <c r="A32" s="24">
        <v>5.2</v>
      </c>
      <c r="B32" s="24">
        <v>3.5</v>
      </c>
      <c r="C32" s="24">
        <v>1.5</v>
      </c>
      <c r="D32" s="24">
        <v>0.2</v>
      </c>
      <c r="E32" s="24" t="s">
        <v>233</v>
      </c>
      <c r="G32" s="44"/>
      <c r="H32" s="35"/>
      <c r="I32" s="36"/>
      <c r="J32" s="39"/>
    </row>
    <row r="33" spans="1:10" x14ac:dyDescent="0.25">
      <c r="A33" s="24">
        <v>5.2</v>
      </c>
      <c r="B33" s="24">
        <v>3.4</v>
      </c>
      <c r="C33" s="24">
        <v>1.4</v>
      </c>
      <c r="D33" s="24">
        <v>0.2</v>
      </c>
      <c r="E33" s="24" t="s">
        <v>233</v>
      </c>
      <c r="G33" s="44"/>
      <c r="H33" s="35"/>
      <c r="I33" s="36"/>
      <c r="J33" s="39"/>
    </row>
    <row r="34" spans="1:10" x14ac:dyDescent="0.25">
      <c r="A34" s="24">
        <v>4.7</v>
      </c>
      <c r="B34" s="24">
        <v>3.2</v>
      </c>
      <c r="C34" s="24">
        <v>1.6</v>
      </c>
      <c r="D34" s="24">
        <v>0.2</v>
      </c>
      <c r="E34" s="24" t="s">
        <v>233</v>
      </c>
      <c r="G34" s="44"/>
      <c r="H34" s="35"/>
      <c r="I34" s="36"/>
      <c r="J34" s="39"/>
    </row>
    <row r="35" spans="1:10" x14ac:dyDescent="0.25">
      <c r="A35" s="24">
        <v>4.8</v>
      </c>
      <c r="B35" s="24">
        <v>3.1</v>
      </c>
      <c r="C35" s="24">
        <v>1.6</v>
      </c>
      <c r="D35" s="24">
        <v>0.2</v>
      </c>
      <c r="E35" s="24" t="s">
        <v>233</v>
      </c>
      <c r="G35" s="44"/>
      <c r="H35" s="35"/>
      <c r="I35" s="36"/>
      <c r="J35" s="39"/>
    </row>
    <row r="36" spans="1:10" x14ac:dyDescent="0.25">
      <c r="A36" s="24">
        <v>5.4</v>
      </c>
      <c r="B36" s="24">
        <v>3.4</v>
      </c>
      <c r="C36" s="24">
        <v>1.5</v>
      </c>
      <c r="D36" s="24">
        <v>0.4</v>
      </c>
      <c r="E36" s="24" t="s">
        <v>233</v>
      </c>
      <c r="G36" s="44"/>
      <c r="H36" s="35"/>
      <c r="I36" s="36"/>
      <c r="J36" s="39"/>
    </row>
    <row r="37" spans="1:10" x14ac:dyDescent="0.25">
      <c r="A37" s="24">
        <v>5.2</v>
      </c>
      <c r="B37" s="24">
        <v>4.0999999999999996</v>
      </c>
      <c r="C37" s="24">
        <v>1.5</v>
      </c>
      <c r="D37" s="24">
        <v>0.1</v>
      </c>
      <c r="E37" s="24" t="s">
        <v>233</v>
      </c>
      <c r="G37" s="44"/>
      <c r="H37" s="35"/>
      <c r="I37" s="36"/>
      <c r="J37" s="39"/>
    </row>
    <row r="38" spans="1:10" x14ac:dyDescent="0.25">
      <c r="A38" s="24">
        <v>5.5</v>
      </c>
      <c r="B38" s="24">
        <v>4.2</v>
      </c>
      <c r="C38" s="24">
        <v>1.4</v>
      </c>
      <c r="D38" s="24">
        <v>0.2</v>
      </c>
      <c r="E38" s="24" t="s">
        <v>233</v>
      </c>
      <c r="G38" s="44"/>
      <c r="H38" s="35"/>
      <c r="I38" s="36"/>
      <c r="J38" s="39"/>
    </row>
    <row r="39" spans="1:10" x14ac:dyDescent="0.25">
      <c r="A39" s="24">
        <v>4.9000000000000004</v>
      </c>
      <c r="B39" s="24">
        <v>3.1</v>
      </c>
      <c r="C39" s="24">
        <v>1.5</v>
      </c>
      <c r="D39" s="24">
        <v>0.1</v>
      </c>
      <c r="E39" s="24" t="s">
        <v>233</v>
      </c>
      <c r="G39" s="44"/>
      <c r="H39" s="35"/>
      <c r="I39" s="36"/>
      <c r="J39" s="39"/>
    </row>
    <row r="40" spans="1:10" x14ac:dyDescent="0.25">
      <c r="A40" s="24">
        <v>5</v>
      </c>
      <c r="B40" s="24">
        <v>3.2</v>
      </c>
      <c r="C40" s="24">
        <v>1.2</v>
      </c>
      <c r="D40" s="24">
        <v>0.2</v>
      </c>
      <c r="E40" s="24" t="s">
        <v>233</v>
      </c>
      <c r="G40" s="44"/>
      <c r="H40" s="35"/>
      <c r="I40" s="36"/>
      <c r="J40" s="40"/>
    </row>
    <row r="41" spans="1:10" x14ac:dyDescent="0.25">
      <c r="A41" s="24">
        <v>5.5</v>
      </c>
      <c r="B41" s="24">
        <v>3.5</v>
      </c>
      <c r="C41" s="24">
        <v>1.3</v>
      </c>
      <c r="D41" s="24">
        <v>0.2</v>
      </c>
      <c r="E41" s="24" t="s">
        <v>233</v>
      </c>
    </row>
    <row r="42" spans="1:10" x14ac:dyDescent="0.25">
      <c r="A42" s="24">
        <v>4.9000000000000004</v>
      </c>
      <c r="B42" s="24">
        <v>3.1</v>
      </c>
      <c r="C42" s="24">
        <v>1.5</v>
      </c>
      <c r="D42" s="24">
        <v>0.1</v>
      </c>
      <c r="E42" s="24" t="s">
        <v>233</v>
      </c>
    </row>
    <row r="43" spans="1:10" x14ac:dyDescent="0.25">
      <c r="A43" s="24">
        <v>4.4000000000000004</v>
      </c>
      <c r="B43" s="24">
        <v>3</v>
      </c>
      <c r="C43" s="24">
        <v>1.3</v>
      </c>
      <c r="D43" s="24">
        <v>0.2</v>
      </c>
      <c r="E43" s="24" t="s">
        <v>233</v>
      </c>
    </row>
    <row r="44" spans="1:10" x14ac:dyDescent="0.25">
      <c r="A44" s="24">
        <v>5.0999999999999996</v>
      </c>
      <c r="B44" s="24">
        <v>3.4</v>
      </c>
      <c r="C44" s="24">
        <v>1.5</v>
      </c>
      <c r="D44" s="24">
        <v>0.2</v>
      </c>
      <c r="E44" s="24" t="s">
        <v>233</v>
      </c>
    </row>
    <row r="45" spans="1:10" x14ac:dyDescent="0.25">
      <c r="A45" s="24">
        <v>5</v>
      </c>
      <c r="B45" s="24">
        <v>3.5</v>
      </c>
      <c r="C45" s="24">
        <v>1.3</v>
      </c>
      <c r="D45" s="24">
        <v>0.3</v>
      </c>
      <c r="E45" s="24" t="s">
        <v>233</v>
      </c>
    </row>
    <row r="46" spans="1:10" x14ac:dyDescent="0.25">
      <c r="A46" s="24">
        <v>4.5</v>
      </c>
      <c r="B46" s="24">
        <v>2.2999999999999998</v>
      </c>
      <c r="C46" s="24">
        <v>1.3</v>
      </c>
      <c r="D46" s="24">
        <v>0.3</v>
      </c>
      <c r="E46" s="24" t="s">
        <v>233</v>
      </c>
    </row>
    <row r="47" spans="1:10" x14ac:dyDescent="0.25">
      <c r="A47" s="24">
        <v>4.4000000000000004</v>
      </c>
      <c r="B47" s="24">
        <v>3.2</v>
      </c>
      <c r="C47" s="24">
        <v>1.3</v>
      </c>
      <c r="D47" s="24">
        <v>0.2</v>
      </c>
      <c r="E47" s="24" t="s">
        <v>233</v>
      </c>
    </row>
    <row r="48" spans="1:10" x14ac:dyDescent="0.25">
      <c r="A48" s="24">
        <v>5</v>
      </c>
      <c r="B48" s="24">
        <v>3.5</v>
      </c>
      <c r="C48" s="24">
        <v>1.6</v>
      </c>
      <c r="D48" s="24">
        <v>0.6</v>
      </c>
      <c r="E48" s="24" t="s">
        <v>233</v>
      </c>
    </row>
    <row r="49" spans="1:5" x14ac:dyDescent="0.25">
      <c r="A49" s="24">
        <v>5.0999999999999996</v>
      </c>
      <c r="B49" s="24">
        <v>3.8</v>
      </c>
      <c r="C49" s="24">
        <v>1.9</v>
      </c>
      <c r="D49" s="24">
        <v>0.4</v>
      </c>
      <c r="E49" s="24" t="s">
        <v>233</v>
      </c>
    </row>
    <row r="50" spans="1:5" x14ac:dyDescent="0.25">
      <c r="A50" s="24">
        <v>4.8</v>
      </c>
      <c r="B50" s="24">
        <v>3</v>
      </c>
      <c r="C50" s="24">
        <v>1.4</v>
      </c>
      <c r="D50" s="24">
        <v>0.3</v>
      </c>
      <c r="E50" s="24" t="s">
        <v>233</v>
      </c>
    </row>
    <row r="51" spans="1:5" x14ac:dyDescent="0.25">
      <c r="A51" s="24">
        <v>5.0999999999999996</v>
      </c>
      <c r="B51" s="24">
        <v>3.8</v>
      </c>
      <c r="C51" s="24">
        <v>1.6</v>
      </c>
      <c r="D51" s="24">
        <v>0.2</v>
      </c>
      <c r="E51" s="24" t="s">
        <v>233</v>
      </c>
    </row>
    <row r="52" spans="1:5" x14ac:dyDescent="0.25">
      <c r="A52" s="24">
        <v>4.5999999999999996</v>
      </c>
      <c r="B52" s="24">
        <v>3.2</v>
      </c>
      <c r="C52" s="24">
        <v>1.4</v>
      </c>
      <c r="D52" s="24">
        <v>0.2</v>
      </c>
      <c r="E52" s="24" t="s">
        <v>233</v>
      </c>
    </row>
    <row r="53" spans="1:5" x14ac:dyDescent="0.25">
      <c r="A53" s="24">
        <v>5.3</v>
      </c>
      <c r="B53" s="24">
        <v>3.7</v>
      </c>
      <c r="C53" s="24">
        <v>1.5</v>
      </c>
      <c r="D53" s="24">
        <v>0.2</v>
      </c>
      <c r="E53" s="24" t="s">
        <v>233</v>
      </c>
    </row>
    <row r="54" spans="1:5" x14ac:dyDescent="0.25">
      <c r="A54" s="24">
        <v>5</v>
      </c>
      <c r="B54" s="24">
        <v>3.3</v>
      </c>
      <c r="C54" s="24">
        <v>1.4</v>
      </c>
      <c r="D54" s="24">
        <v>0.2</v>
      </c>
      <c r="E54" s="24" t="s">
        <v>233</v>
      </c>
    </row>
    <row r="55" spans="1:5" x14ac:dyDescent="0.25">
      <c r="A55" s="24">
        <v>7</v>
      </c>
      <c r="B55" s="24">
        <v>3.2</v>
      </c>
      <c r="C55" s="24">
        <v>4.7</v>
      </c>
      <c r="D55" s="24">
        <v>1.4</v>
      </c>
      <c r="E55" s="24" t="s">
        <v>232</v>
      </c>
    </row>
    <row r="56" spans="1:5" x14ac:dyDescent="0.25">
      <c r="A56" s="24">
        <v>6.4</v>
      </c>
      <c r="B56" s="24">
        <v>3.2</v>
      </c>
      <c r="C56" s="24">
        <v>4.5</v>
      </c>
      <c r="D56" s="24">
        <v>1.5</v>
      </c>
      <c r="E56" s="24" t="s">
        <v>232</v>
      </c>
    </row>
    <row r="57" spans="1:5" x14ac:dyDescent="0.25">
      <c r="A57" s="24">
        <v>6.9</v>
      </c>
      <c r="B57" s="24">
        <v>3.1</v>
      </c>
      <c r="C57" s="24">
        <v>4.9000000000000004</v>
      </c>
      <c r="D57" s="24">
        <v>1.5</v>
      </c>
      <c r="E57" s="24" t="s">
        <v>232</v>
      </c>
    </row>
    <row r="58" spans="1:5" x14ac:dyDescent="0.25">
      <c r="A58" s="24">
        <v>5.5</v>
      </c>
      <c r="B58" s="24">
        <v>2.2999999999999998</v>
      </c>
      <c r="C58" s="24">
        <v>4</v>
      </c>
      <c r="D58" s="24">
        <v>1.3</v>
      </c>
      <c r="E58" s="24" t="s">
        <v>232</v>
      </c>
    </row>
    <row r="59" spans="1:5" x14ac:dyDescent="0.25">
      <c r="A59" s="24">
        <v>6.5</v>
      </c>
      <c r="B59" s="24">
        <v>2.8</v>
      </c>
      <c r="C59" s="24">
        <v>4.5999999999999996</v>
      </c>
      <c r="D59" s="24">
        <v>1.5</v>
      </c>
      <c r="E59" s="24" t="s">
        <v>232</v>
      </c>
    </row>
    <row r="60" spans="1:5" x14ac:dyDescent="0.25">
      <c r="A60" s="24">
        <v>5.7</v>
      </c>
      <c r="B60" s="24">
        <v>2.8</v>
      </c>
      <c r="C60" s="24">
        <v>4.5</v>
      </c>
      <c r="D60" s="24">
        <v>1.3</v>
      </c>
      <c r="E60" s="24" t="s">
        <v>232</v>
      </c>
    </row>
    <row r="61" spans="1:5" x14ac:dyDescent="0.25">
      <c r="A61" s="24">
        <v>6.3</v>
      </c>
      <c r="B61" s="24">
        <v>3.3</v>
      </c>
      <c r="C61" s="24">
        <v>4.7</v>
      </c>
      <c r="D61" s="24">
        <v>1.6</v>
      </c>
      <c r="E61" s="24" t="s">
        <v>232</v>
      </c>
    </row>
    <row r="62" spans="1:5" x14ac:dyDescent="0.25">
      <c r="A62" s="24">
        <v>4.9000000000000004</v>
      </c>
      <c r="B62" s="24">
        <v>2.4</v>
      </c>
      <c r="C62" s="24">
        <v>3.3</v>
      </c>
      <c r="D62" s="24">
        <v>1</v>
      </c>
      <c r="E62" s="24" t="s">
        <v>232</v>
      </c>
    </row>
    <row r="63" spans="1:5" x14ac:dyDescent="0.25">
      <c r="A63" s="24">
        <v>6.6</v>
      </c>
      <c r="B63" s="24">
        <v>2.9</v>
      </c>
      <c r="C63" s="24">
        <v>4.5999999999999996</v>
      </c>
      <c r="D63" s="24">
        <v>1.3</v>
      </c>
      <c r="E63" s="24" t="s">
        <v>232</v>
      </c>
    </row>
    <row r="64" spans="1:5" x14ac:dyDescent="0.25">
      <c r="A64" s="24">
        <v>5.2</v>
      </c>
      <c r="B64" s="24">
        <v>2.7</v>
      </c>
      <c r="C64" s="24">
        <v>3.9</v>
      </c>
      <c r="D64" s="24">
        <v>1.4</v>
      </c>
      <c r="E64" s="24" t="s">
        <v>232</v>
      </c>
    </row>
    <row r="65" spans="1:5" x14ac:dyDescent="0.25">
      <c r="A65" s="24">
        <v>5</v>
      </c>
      <c r="B65" s="24">
        <v>2</v>
      </c>
      <c r="C65" s="24">
        <v>3.5</v>
      </c>
      <c r="D65" s="24">
        <v>1</v>
      </c>
      <c r="E65" s="24" t="s">
        <v>232</v>
      </c>
    </row>
    <row r="66" spans="1:5" x14ac:dyDescent="0.25">
      <c r="A66" s="24">
        <v>5.9</v>
      </c>
      <c r="B66" s="24">
        <v>3</v>
      </c>
      <c r="C66" s="24">
        <v>4.2</v>
      </c>
      <c r="D66" s="24">
        <v>1.5</v>
      </c>
      <c r="E66" s="24" t="s">
        <v>232</v>
      </c>
    </row>
    <row r="67" spans="1:5" x14ac:dyDescent="0.25">
      <c r="A67" s="24">
        <v>6</v>
      </c>
      <c r="B67" s="24">
        <v>2.2000000000000002</v>
      </c>
      <c r="C67" s="24">
        <v>4</v>
      </c>
      <c r="D67" s="24">
        <v>1</v>
      </c>
      <c r="E67" s="24" t="s">
        <v>232</v>
      </c>
    </row>
    <row r="68" spans="1:5" x14ac:dyDescent="0.25">
      <c r="A68" s="24">
        <v>6.1</v>
      </c>
      <c r="B68" s="24">
        <v>2.9</v>
      </c>
      <c r="C68" s="24">
        <v>4.7</v>
      </c>
      <c r="D68" s="24">
        <v>1.4</v>
      </c>
      <c r="E68" s="24" t="s">
        <v>232</v>
      </c>
    </row>
    <row r="69" spans="1:5" x14ac:dyDescent="0.25">
      <c r="A69" s="24">
        <v>5.6</v>
      </c>
      <c r="B69" s="24">
        <v>2.9</v>
      </c>
      <c r="C69" s="24">
        <v>3.6</v>
      </c>
      <c r="D69" s="24">
        <v>1.3</v>
      </c>
      <c r="E69" s="24" t="s">
        <v>232</v>
      </c>
    </row>
    <row r="70" spans="1:5" x14ac:dyDescent="0.25">
      <c r="A70" s="24">
        <v>6.7</v>
      </c>
      <c r="B70" s="24">
        <v>3.1</v>
      </c>
      <c r="C70" s="24">
        <v>4.4000000000000004</v>
      </c>
      <c r="D70" s="24">
        <v>1.4</v>
      </c>
      <c r="E70" s="24" t="s">
        <v>232</v>
      </c>
    </row>
    <row r="71" spans="1:5" x14ac:dyDescent="0.25">
      <c r="A71" s="24">
        <v>5.6</v>
      </c>
      <c r="B71" s="24">
        <v>3</v>
      </c>
      <c r="C71" s="24">
        <v>4.5</v>
      </c>
      <c r="D71" s="24">
        <v>1.5</v>
      </c>
      <c r="E71" s="24" t="s">
        <v>232</v>
      </c>
    </row>
    <row r="72" spans="1:5" x14ac:dyDescent="0.25">
      <c r="A72" s="24">
        <v>5.8</v>
      </c>
      <c r="B72" s="24">
        <v>2.7</v>
      </c>
      <c r="C72" s="24">
        <v>4.0999999999999996</v>
      </c>
      <c r="D72" s="24">
        <v>1</v>
      </c>
      <c r="E72" s="24" t="s">
        <v>232</v>
      </c>
    </row>
    <row r="73" spans="1:5" x14ac:dyDescent="0.25">
      <c r="A73" s="24">
        <v>6.2</v>
      </c>
      <c r="B73" s="24">
        <v>2.2000000000000002</v>
      </c>
      <c r="C73" s="24">
        <v>4.5</v>
      </c>
      <c r="D73" s="24">
        <v>1.5</v>
      </c>
      <c r="E73" s="24" t="s">
        <v>232</v>
      </c>
    </row>
    <row r="74" spans="1:5" x14ac:dyDescent="0.25">
      <c r="A74" s="24">
        <v>5.6</v>
      </c>
      <c r="B74" s="24">
        <v>2.5</v>
      </c>
      <c r="C74" s="24">
        <v>3.9</v>
      </c>
      <c r="D74" s="24">
        <v>1.1000000000000001</v>
      </c>
      <c r="E74" s="24" t="s">
        <v>232</v>
      </c>
    </row>
    <row r="75" spans="1:5" x14ac:dyDescent="0.25">
      <c r="A75" s="24">
        <v>5.9</v>
      </c>
      <c r="B75" s="24">
        <v>3.2</v>
      </c>
      <c r="C75" s="24">
        <v>4.8</v>
      </c>
      <c r="D75" s="24">
        <v>1.8</v>
      </c>
      <c r="E75" s="24" t="s">
        <v>232</v>
      </c>
    </row>
    <row r="76" spans="1:5" x14ac:dyDescent="0.25">
      <c r="A76" s="24">
        <v>6.1</v>
      </c>
      <c r="B76" s="24">
        <v>2.8</v>
      </c>
      <c r="C76" s="24">
        <v>4</v>
      </c>
      <c r="D76" s="24">
        <v>1.3</v>
      </c>
      <c r="E76" s="24" t="s">
        <v>232</v>
      </c>
    </row>
    <row r="77" spans="1:5" x14ac:dyDescent="0.25">
      <c r="A77" s="24">
        <v>6.3</v>
      </c>
      <c r="B77" s="24">
        <v>2.5</v>
      </c>
      <c r="C77" s="24">
        <v>4.9000000000000004</v>
      </c>
      <c r="D77" s="24">
        <v>1.5</v>
      </c>
      <c r="E77" s="24" t="s">
        <v>232</v>
      </c>
    </row>
    <row r="78" spans="1:5" x14ac:dyDescent="0.25">
      <c r="A78" s="24">
        <v>6.1</v>
      </c>
      <c r="B78" s="24">
        <v>2.8</v>
      </c>
      <c r="C78" s="24">
        <v>4.7</v>
      </c>
      <c r="D78" s="24">
        <v>1.2</v>
      </c>
      <c r="E78" s="24" t="s">
        <v>232</v>
      </c>
    </row>
    <row r="79" spans="1:5" x14ac:dyDescent="0.25">
      <c r="A79" s="24">
        <v>6.4</v>
      </c>
      <c r="B79" s="24">
        <v>2.9</v>
      </c>
      <c r="C79" s="24">
        <v>4.3</v>
      </c>
      <c r="D79" s="24">
        <v>1.3</v>
      </c>
      <c r="E79" s="24" t="s">
        <v>232</v>
      </c>
    </row>
    <row r="80" spans="1:5" x14ac:dyDescent="0.25">
      <c r="A80" s="24">
        <v>6.6</v>
      </c>
      <c r="B80" s="24">
        <v>3</v>
      </c>
      <c r="C80" s="24">
        <v>4.4000000000000004</v>
      </c>
      <c r="D80" s="24">
        <v>1.4</v>
      </c>
      <c r="E80" s="24" t="s">
        <v>232</v>
      </c>
    </row>
    <row r="81" spans="1:5" x14ac:dyDescent="0.25">
      <c r="A81" s="24">
        <v>6.8</v>
      </c>
      <c r="B81" s="24">
        <v>2.8</v>
      </c>
      <c r="C81" s="24">
        <v>4.8</v>
      </c>
      <c r="D81" s="24">
        <v>1.4</v>
      </c>
      <c r="E81" s="24" t="s">
        <v>232</v>
      </c>
    </row>
    <row r="82" spans="1:5" x14ac:dyDescent="0.25">
      <c r="A82" s="24">
        <v>6.7</v>
      </c>
      <c r="B82" s="24">
        <v>3</v>
      </c>
      <c r="C82" s="24">
        <v>5</v>
      </c>
      <c r="D82" s="24">
        <v>1.7</v>
      </c>
      <c r="E82" s="24" t="s">
        <v>232</v>
      </c>
    </row>
    <row r="83" spans="1:5" x14ac:dyDescent="0.25">
      <c r="A83" s="24">
        <v>6</v>
      </c>
      <c r="B83" s="24">
        <v>2.9</v>
      </c>
      <c r="C83" s="24">
        <v>4.5</v>
      </c>
      <c r="D83" s="24">
        <v>1.5</v>
      </c>
      <c r="E83" s="24" t="s">
        <v>232</v>
      </c>
    </row>
    <row r="84" spans="1:5" x14ac:dyDescent="0.25">
      <c r="A84" s="24">
        <v>5.7</v>
      </c>
      <c r="B84" s="24">
        <v>2.6</v>
      </c>
      <c r="C84" s="24">
        <v>3.5</v>
      </c>
      <c r="D84" s="24">
        <v>1</v>
      </c>
      <c r="E84" s="24" t="s">
        <v>232</v>
      </c>
    </row>
    <row r="85" spans="1:5" x14ac:dyDescent="0.25">
      <c r="A85" s="24">
        <v>5.5</v>
      </c>
      <c r="B85" s="24">
        <v>2.4</v>
      </c>
      <c r="C85" s="24">
        <v>3.8</v>
      </c>
      <c r="D85" s="24">
        <v>1.1000000000000001</v>
      </c>
      <c r="E85" s="24" t="s">
        <v>232</v>
      </c>
    </row>
    <row r="86" spans="1:5" x14ac:dyDescent="0.25">
      <c r="A86" s="24">
        <v>5.5</v>
      </c>
      <c r="B86" s="24">
        <v>2.4</v>
      </c>
      <c r="C86" s="24">
        <v>3.7</v>
      </c>
      <c r="D86" s="24">
        <v>1</v>
      </c>
      <c r="E86" s="24" t="s">
        <v>232</v>
      </c>
    </row>
    <row r="87" spans="1:5" x14ac:dyDescent="0.25">
      <c r="A87" s="24">
        <v>5.8</v>
      </c>
      <c r="B87" s="24">
        <v>2.7</v>
      </c>
      <c r="C87" s="24">
        <v>3.9</v>
      </c>
      <c r="D87" s="24">
        <v>1.2</v>
      </c>
      <c r="E87" s="24" t="s">
        <v>232</v>
      </c>
    </row>
    <row r="88" spans="1:5" x14ac:dyDescent="0.25">
      <c r="A88" s="24">
        <v>6</v>
      </c>
      <c r="B88" s="24">
        <v>2.7</v>
      </c>
      <c r="C88" s="24">
        <v>5.0999999999999996</v>
      </c>
      <c r="D88" s="24">
        <v>1.6</v>
      </c>
      <c r="E88" s="24" t="s">
        <v>232</v>
      </c>
    </row>
    <row r="89" spans="1:5" x14ac:dyDescent="0.25">
      <c r="A89" s="24">
        <v>5.4</v>
      </c>
      <c r="B89" s="24">
        <v>3</v>
      </c>
      <c r="C89" s="24">
        <v>4.5</v>
      </c>
      <c r="D89" s="24">
        <v>1.5</v>
      </c>
      <c r="E89" s="24" t="s">
        <v>232</v>
      </c>
    </row>
    <row r="90" spans="1:5" x14ac:dyDescent="0.25">
      <c r="A90" s="24">
        <v>6</v>
      </c>
      <c r="B90" s="24">
        <v>3.4</v>
      </c>
      <c r="C90" s="24">
        <v>4.5</v>
      </c>
      <c r="D90" s="24">
        <v>1.6</v>
      </c>
      <c r="E90" s="24" t="s">
        <v>232</v>
      </c>
    </row>
    <row r="91" spans="1:5" x14ac:dyDescent="0.25">
      <c r="A91" s="24">
        <v>6.7</v>
      </c>
      <c r="B91" s="24">
        <v>3.1</v>
      </c>
      <c r="C91" s="24">
        <v>4.7</v>
      </c>
      <c r="D91" s="24">
        <v>1.5</v>
      </c>
      <c r="E91" s="24" t="s">
        <v>232</v>
      </c>
    </row>
    <row r="92" spans="1:5" x14ac:dyDescent="0.25">
      <c r="A92" s="24">
        <v>6.3</v>
      </c>
      <c r="B92" s="24">
        <v>2.2999999999999998</v>
      </c>
      <c r="C92" s="24">
        <v>4.4000000000000004</v>
      </c>
      <c r="D92" s="24">
        <v>1.3</v>
      </c>
      <c r="E92" s="24" t="s">
        <v>232</v>
      </c>
    </row>
    <row r="93" spans="1:5" x14ac:dyDescent="0.25">
      <c r="A93" s="24">
        <v>5.6</v>
      </c>
      <c r="B93" s="24">
        <v>3</v>
      </c>
      <c r="C93" s="24">
        <v>4.0999999999999996</v>
      </c>
      <c r="D93" s="24">
        <v>1.3</v>
      </c>
      <c r="E93" s="24" t="s">
        <v>232</v>
      </c>
    </row>
    <row r="94" spans="1:5" x14ac:dyDescent="0.25">
      <c r="A94" s="24">
        <v>5.5</v>
      </c>
      <c r="B94" s="24">
        <v>2.5</v>
      </c>
      <c r="C94" s="24">
        <v>4</v>
      </c>
      <c r="D94" s="24">
        <v>1.3</v>
      </c>
      <c r="E94" s="24" t="s">
        <v>232</v>
      </c>
    </row>
    <row r="95" spans="1:5" x14ac:dyDescent="0.25">
      <c r="A95" s="24">
        <v>5.5</v>
      </c>
      <c r="B95" s="24">
        <v>2.6</v>
      </c>
      <c r="C95" s="24">
        <v>4.4000000000000004</v>
      </c>
      <c r="D95" s="24">
        <v>1.2</v>
      </c>
      <c r="E95" s="24" t="s">
        <v>232</v>
      </c>
    </row>
    <row r="96" spans="1:5" x14ac:dyDescent="0.25">
      <c r="A96" s="24">
        <v>6.1</v>
      </c>
      <c r="B96" s="24">
        <v>3</v>
      </c>
      <c r="C96" s="24">
        <v>4.5999999999999996</v>
      </c>
      <c r="D96" s="24">
        <v>1.4</v>
      </c>
      <c r="E96" s="24" t="s">
        <v>232</v>
      </c>
    </row>
    <row r="97" spans="1:5" x14ac:dyDescent="0.25">
      <c r="A97" s="24">
        <v>5.8</v>
      </c>
      <c r="B97" s="24">
        <v>2.6</v>
      </c>
      <c r="C97" s="24">
        <v>4</v>
      </c>
      <c r="D97" s="24">
        <v>1.2</v>
      </c>
      <c r="E97" s="24" t="s">
        <v>232</v>
      </c>
    </row>
    <row r="98" spans="1:5" x14ac:dyDescent="0.25">
      <c r="A98" s="24">
        <v>5</v>
      </c>
      <c r="B98" s="24">
        <v>2.2999999999999998</v>
      </c>
      <c r="C98" s="24">
        <v>3.3</v>
      </c>
      <c r="D98" s="24">
        <v>1</v>
      </c>
      <c r="E98" s="24" t="s">
        <v>232</v>
      </c>
    </row>
    <row r="99" spans="1:5" x14ac:dyDescent="0.25">
      <c r="A99" s="24">
        <v>5.6</v>
      </c>
      <c r="B99" s="24">
        <v>2.7</v>
      </c>
      <c r="C99" s="24">
        <v>4.2</v>
      </c>
      <c r="D99" s="24">
        <v>1.3</v>
      </c>
      <c r="E99" s="24" t="s">
        <v>232</v>
      </c>
    </row>
    <row r="100" spans="1:5" x14ac:dyDescent="0.25">
      <c r="A100" s="24">
        <v>5.7</v>
      </c>
      <c r="B100" s="24">
        <v>3</v>
      </c>
      <c r="C100" s="24">
        <v>4.2</v>
      </c>
      <c r="D100" s="24">
        <v>1.2</v>
      </c>
      <c r="E100" s="24" t="s">
        <v>232</v>
      </c>
    </row>
    <row r="101" spans="1:5" x14ac:dyDescent="0.25">
      <c r="A101" s="24">
        <v>5.7</v>
      </c>
      <c r="B101" s="24">
        <v>2.9</v>
      </c>
      <c r="C101" s="24">
        <v>4.2</v>
      </c>
      <c r="D101" s="24">
        <v>1.3</v>
      </c>
      <c r="E101" s="24" t="s">
        <v>232</v>
      </c>
    </row>
    <row r="102" spans="1:5" x14ac:dyDescent="0.25">
      <c r="A102" s="24">
        <v>6.2</v>
      </c>
      <c r="B102" s="24">
        <v>2.9</v>
      </c>
      <c r="C102" s="24">
        <v>4.3</v>
      </c>
      <c r="D102" s="24">
        <v>1.3</v>
      </c>
      <c r="E102" s="24" t="s">
        <v>232</v>
      </c>
    </row>
    <row r="103" spans="1:5" x14ac:dyDescent="0.25">
      <c r="A103" s="24">
        <v>5.0999999999999996</v>
      </c>
      <c r="B103" s="24">
        <v>2.5</v>
      </c>
      <c r="C103" s="24">
        <v>3</v>
      </c>
      <c r="D103" s="24">
        <v>1.1000000000000001</v>
      </c>
      <c r="E103" s="24" t="s">
        <v>232</v>
      </c>
    </row>
    <row r="104" spans="1:5" x14ac:dyDescent="0.25">
      <c r="A104" s="24">
        <v>5.7</v>
      </c>
      <c r="B104" s="24">
        <v>2.8</v>
      </c>
      <c r="C104" s="24">
        <v>4.0999999999999996</v>
      </c>
      <c r="D104" s="24">
        <v>1.3</v>
      </c>
      <c r="E104" s="24" t="s">
        <v>232</v>
      </c>
    </row>
    <row r="105" spans="1:5" x14ac:dyDescent="0.25">
      <c r="A105" s="24">
        <v>6.3</v>
      </c>
      <c r="B105" s="24">
        <v>3.3</v>
      </c>
      <c r="C105" s="24">
        <v>6</v>
      </c>
      <c r="D105" s="24">
        <v>2.5</v>
      </c>
      <c r="E105" s="24" t="s">
        <v>231</v>
      </c>
    </row>
    <row r="106" spans="1:5" x14ac:dyDescent="0.25">
      <c r="A106" s="24">
        <v>5.8</v>
      </c>
      <c r="B106" s="24">
        <v>2.7</v>
      </c>
      <c r="C106" s="24">
        <v>5.0999999999999996</v>
      </c>
      <c r="D106" s="24">
        <v>1.9</v>
      </c>
      <c r="E106" s="24" t="s">
        <v>231</v>
      </c>
    </row>
    <row r="107" spans="1:5" x14ac:dyDescent="0.25">
      <c r="A107" s="24">
        <v>7.1</v>
      </c>
      <c r="B107" s="24">
        <v>3</v>
      </c>
      <c r="C107" s="24">
        <v>5.9</v>
      </c>
      <c r="D107" s="24">
        <v>2.1</v>
      </c>
      <c r="E107" s="24" t="s">
        <v>231</v>
      </c>
    </row>
    <row r="108" spans="1:5" x14ac:dyDescent="0.25">
      <c r="A108" s="24">
        <v>6.3</v>
      </c>
      <c r="B108" s="24">
        <v>2.9</v>
      </c>
      <c r="C108" s="24">
        <v>5.6</v>
      </c>
      <c r="D108" s="24">
        <v>1.8</v>
      </c>
      <c r="E108" s="24" t="s">
        <v>231</v>
      </c>
    </row>
    <row r="109" spans="1:5" x14ac:dyDescent="0.25">
      <c r="A109" s="24">
        <v>6.5</v>
      </c>
      <c r="B109" s="24">
        <v>3</v>
      </c>
      <c r="C109" s="24">
        <v>5.8</v>
      </c>
      <c r="D109" s="24">
        <v>2.2000000000000002</v>
      </c>
      <c r="E109" s="24" t="s">
        <v>231</v>
      </c>
    </row>
    <row r="110" spans="1:5" x14ac:dyDescent="0.25">
      <c r="A110" s="24">
        <v>7.6</v>
      </c>
      <c r="B110" s="24">
        <v>3</v>
      </c>
      <c r="C110" s="24">
        <v>6.6</v>
      </c>
      <c r="D110" s="24">
        <v>2.1</v>
      </c>
      <c r="E110" s="24" t="s">
        <v>231</v>
      </c>
    </row>
    <row r="111" spans="1:5" x14ac:dyDescent="0.25">
      <c r="A111" s="24">
        <v>4.9000000000000004</v>
      </c>
      <c r="B111" s="24">
        <v>2.5</v>
      </c>
      <c r="C111" s="24">
        <v>4.5</v>
      </c>
      <c r="D111" s="24">
        <v>1.7</v>
      </c>
      <c r="E111" s="24" t="s">
        <v>231</v>
      </c>
    </row>
    <row r="112" spans="1:5" x14ac:dyDescent="0.25">
      <c r="A112" s="24">
        <v>7.3</v>
      </c>
      <c r="B112" s="24">
        <v>2.9</v>
      </c>
      <c r="C112" s="24">
        <v>6.3</v>
      </c>
      <c r="D112" s="24">
        <v>1.8</v>
      </c>
      <c r="E112" s="24" t="s">
        <v>231</v>
      </c>
    </row>
    <row r="113" spans="1:5" x14ac:dyDescent="0.25">
      <c r="A113" s="24">
        <v>6.7</v>
      </c>
      <c r="B113" s="24">
        <v>2.5</v>
      </c>
      <c r="C113" s="24">
        <v>5.8</v>
      </c>
      <c r="D113" s="24">
        <v>1.8</v>
      </c>
      <c r="E113" s="24" t="s">
        <v>231</v>
      </c>
    </row>
    <row r="114" spans="1:5" x14ac:dyDescent="0.25">
      <c r="A114" s="24">
        <v>7.2</v>
      </c>
      <c r="B114" s="24">
        <v>3.6</v>
      </c>
      <c r="C114" s="24">
        <v>6.1</v>
      </c>
      <c r="D114" s="24">
        <v>2.5</v>
      </c>
      <c r="E114" s="24" t="s">
        <v>231</v>
      </c>
    </row>
    <row r="115" spans="1:5" x14ac:dyDescent="0.25">
      <c r="A115" s="24">
        <v>6.5</v>
      </c>
      <c r="B115" s="24">
        <v>3.2</v>
      </c>
      <c r="C115" s="24">
        <v>5.0999999999999996</v>
      </c>
      <c r="D115" s="24">
        <v>2</v>
      </c>
      <c r="E115" s="24" t="s">
        <v>231</v>
      </c>
    </row>
    <row r="116" spans="1:5" x14ac:dyDescent="0.25">
      <c r="A116" s="24">
        <v>6.4</v>
      </c>
      <c r="B116" s="24">
        <v>2.7</v>
      </c>
      <c r="C116" s="24">
        <v>5.3</v>
      </c>
      <c r="D116" s="24">
        <v>1.9</v>
      </c>
      <c r="E116" s="24" t="s">
        <v>231</v>
      </c>
    </row>
    <row r="117" spans="1:5" x14ac:dyDescent="0.25">
      <c r="A117" s="24">
        <v>6.8</v>
      </c>
      <c r="B117" s="24">
        <v>3</v>
      </c>
      <c r="C117" s="24">
        <v>5.5</v>
      </c>
      <c r="D117" s="24">
        <v>2.1</v>
      </c>
      <c r="E117" s="24" t="s">
        <v>231</v>
      </c>
    </row>
    <row r="118" spans="1:5" x14ac:dyDescent="0.25">
      <c r="A118" s="24">
        <v>5.7</v>
      </c>
      <c r="B118" s="24">
        <v>2.5</v>
      </c>
      <c r="C118" s="24">
        <v>5</v>
      </c>
      <c r="D118" s="24">
        <v>2</v>
      </c>
      <c r="E118" s="24" t="s">
        <v>231</v>
      </c>
    </row>
    <row r="119" spans="1:5" x14ac:dyDescent="0.25">
      <c r="A119" s="24">
        <v>5.8</v>
      </c>
      <c r="B119" s="24">
        <v>2.8</v>
      </c>
      <c r="C119" s="24">
        <v>5.0999999999999996</v>
      </c>
      <c r="D119" s="24">
        <v>2.4</v>
      </c>
      <c r="E119" s="24" t="s">
        <v>231</v>
      </c>
    </row>
    <row r="120" spans="1:5" x14ac:dyDescent="0.25">
      <c r="A120" s="24">
        <v>6.4</v>
      </c>
      <c r="B120" s="24">
        <v>3.2</v>
      </c>
      <c r="C120" s="24">
        <v>5.3</v>
      </c>
      <c r="D120" s="24">
        <v>2.2999999999999998</v>
      </c>
      <c r="E120" s="24" t="s">
        <v>231</v>
      </c>
    </row>
    <row r="121" spans="1:5" x14ac:dyDescent="0.25">
      <c r="A121" s="24">
        <v>6.5</v>
      </c>
      <c r="B121" s="24">
        <v>3</v>
      </c>
      <c r="C121" s="24">
        <v>5.5</v>
      </c>
      <c r="D121" s="24">
        <v>1.8</v>
      </c>
      <c r="E121" s="24" t="s">
        <v>231</v>
      </c>
    </row>
    <row r="122" spans="1:5" x14ac:dyDescent="0.25">
      <c r="A122" s="24">
        <v>7.7</v>
      </c>
      <c r="B122" s="24">
        <v>3.8</v>
      </c>
      <c r="C122" s="24">
        <v>6.7</v>
      </c>
      <c r="D122" s="24">
        <v>2.2000000000000002</v>
      </c>
      <c r="E122" s="24" t="s">
        <v>231</v>
      </c>
    </row>
    <row r="123" spans="1:5" x14ac:dyDescent="0.25">
      <c r="A123" s="24">
        <v>7.7</v>
      </c>
      <c r="B123" s="24">
        <v>2.6</v>
      </c>
      <c r="C123" s="24">
        <v>6.9</v>
      </c>
      <c r="D123" s="24">
        <v>2.2999999999999998</v>
      </c>
      <c r="E123" s="24" t="s">
        <v>231</v>
      </c>
    </row>
    <row r="124" spans="1:5" x14ac:dyDescent="0.25">
      <c r="A124" s="24">
        <v>6</v>
      </c>
      <c r="B124" s="24">
        <v>2.2000000000000002</v>
      </c>
      <c r="C124" s="24">
        <v>5</v>
      </c>
      <c r="D124" s="24">
        <v>1.5</v>
      </c>
      <c r="E124" s="24" t="s">
        <v>231</v>
      </c>
    </row>
    <row r="125" spans="1:5" x14ac:dyDescent="0.25">
      <c r="A125" s="24">
        <v>6.9</v>
      </c>
      <c r="B125" s="24">
        <v>3.2</v>
      </c>
      <c r="C125" s="24">
        <v>5.7</v>
      </c>
      <c r="D125" s="24">
        <v>2.2999999999999998</v>
      </c>
      <c r="E125" s="24" t="s">
        <v>231</v>
      </c>
    </row>
    <row r="126" spans="1:5" x14ac:dyDescent="0.25">
      <c r="A126" s="24">
        <v>5.6</v>
      </c>
      <c r="B126" s="24">
        <v>2.8</v>
      </c>
      <c r="C126" s="24">
        <v>4.9000000000000004</v>
      </c>
      <c r="D126" s="24">
        <v>2</v>
      </c>
      <c r="E126" s="24" t="s">
        <v>231</v>
      </c>
    </row>
    <row r="127" spans="1:5" x14ac:dyDescent="0.25">
      <c r="A127" s="24">
        <v>7.7</v>
      </c>
      <c r="B127" s="24">
        <v>2.8</v>
      </c>
      <c r="C127" s="24">
        <v>6.7</v>
      </c>
      <c r="D127" s="24">
        <v>2</v>
      </c>
      <c r="E127" s="24" t="s">
        <v>231</v>
      </c>
    </row>
    <row r="128" spans="1:5" x14ac:dyDescent="0.25">
      <c r="A128" s="24">
        <v>6.3</v>
      </c>
      <c r="B128" s="24">
        <v>2.7</v>
      </c>
      <c r="C128" s="24">
        <v>4.9000000000000004</v>
      </c>
      <c r="D128" s="24">
        <v>1.8</v>
      </c>
      <c r="E128" s="24" t="s">
        <v>231</v>
      </c>
    </row>
    <row r="129" spans="1:5" x14ac:dyDescent="0.25">
      <c r="A129" s="24">
        <v>6.7</v>
      </c>
      <c r="B129" s="24">
        <v>3.3</v>
      </c>
      <c r="C129" s="24">
        <v>5.7</v>
      </c>
      <c r="D129" s="24">
        <v>2.1</v>
      </c>
      <c r="E129" s="24" t="s">
        <v>231</v>
      </c>
    </row>
    <row r="130" spans="1:5" x14ac:dyDescent="0.25">
      <c r="A130" s="24">
        <v>7.2</v>
      </c>
      <c r="B130" s="24">
        <v>3.2</v>
      </c>
      <c r="C130" s="24">
        <v>6</v>
      </c>
      <c r="D130" s="24">
        <v>1.8</v>
      </c>
      <c r="E130" s="24" t="s">
        <v>231</v>
      </c>
    </row>
    <row r="131" spans="1:5" x14ac:dyDescent="0.25">
      <c r="A131" s="24">
        <v>6.2</v>
      </c>
      <c r="B131" s="24">
        <v>2.8</v>
      </c>
      <c r="C131" s="24">
        <v>4.8</v>
      </c>
      <c r="D131" s="24">
        <v>1.8</v>
      </c>
      <c r="E131" s="24" t="s">
        <v>231</v>
      </c>
    </row>
    <row r="132" spans="1:5" x14ac:dyDescent="0.25">
      <c r="A132" s="24">
        <v>6.1</v>
      </c>
      <c r="B132" s="24">
        <v>3</v>
      </c>
      <c r="C132" s="24">
        <v>4.9000000000000004</v>
      </c>
      <c r="D132" s="24">
        <v>1.8</v>
      </c>
      <c r="E132" s="24" t="s">
        <v>231</v>
      </c>
    </row>
    <row r="133" spans="1:5" x14ac:dyDescent="0.25">
      <c r="A133" s="24">
        <v>6.4</v>
      </c>
      <c r="B133" s="24">
        <v>2.8</v>
      </c>
      <c r="C133" s="24">
        <v>5.6</v>
      </c>
      <c r="D133" s="24">
        <v>2.1</v>
      </c>
      <c r="E133" s="24" t="s">
        <v>231</v>
      </c>
    </row>
    <row r="134" spans="1:5" x14ac:dyDescent="0.25">
      <c r="A134" s="24">
        <v>7.2</v>
      </c>
      <c r="B134" s="24">
        <v>3</v>
      </c>
      <c r="C134" s="24">
        <v>5.8</v>
      </c>
      <c r="D134" s="24">
        <v>1.6</v>
      </c>
      <c r="E134" s="24" t="s">
        <v>231</v>
      </c>
    </row>
    <row r="135" spans="1:5" x14ac:dyDescent="0.25">
      <c r="A135" s="24">
        <v>7.4</v>
      </c>
      <c r="B135" s="24">
        <v>2.8</v>
      </c>
      <c r="C135" s="24">
        <v>6.1</v>
      </c>
      <c r="D135" s="24">
        <v>1.9</v>
      </c>
      <c r="E135" s="24" t="s">
        <v>231</v>
      </c>
    </row>
    <row r="136" spans="1:5" x14ac:dyDescent="0.25">
      <c r="A136" s="24">
        <v>7.9</v>
      </c>
      <c r="B136" s="24">
        <v>3.8</v>
      </c>
      <c r="C136" s="24">
        <v>6.4</v>
      </c>
      <c r="D136" s="24">
        <v>2</v>
      </c>
      <c r="E136" s="24" t="s">
        <v>231</v>
      </c>
    </row>
    <row r="137" spans="1:5" x14ac:dyDescent="0.25">
      <c r="A137" s="24">
        <v>6.4</v>
      </c>
      <c r="B137" s="24">
        <v>2.8</v>
      </c>
      <c r="C137" s="24">
        <v>5.6</v>
      </c>
      <c r="D137" s="24">
        <v>2.2000000000000002</v>
      </c>
      <c r="E137" s="24" t="s">
        <v>231</v>
      </c>
    </row>
    <row r="138" spans="1:5" x14ac:dyDescent="0.25">
      <c r="A138" s="24">
        <v>6.3</v>
      </c>
      <c r="B138" s="24">
        <v>2.8</v>
      </c>
      <c r="C138" s="24">
        <v>5.0999999999999996</v>
      </c>
      <c r="D138" s="24">
        <v>1.5</v>
      </c>
      <c r="E138" s="24" t="s">
        <v>231</v>
      </c>
    </row>
    <row r="139" spans="1:5" x14ac:dyDescent="0.25">
      <c r="A139" s="24">
        <v>6.1</v>
      </c>
      <c r="B139" s="24">
        <v>2.6</v>
      </c>
      <c r="C139" s="24">
        <v>5.6</v>
      </c>
      <c r="D139" s="24">
        <v>1.4</v>
      </c>
      <c r="E139" s="24" t="s">
        <v>231</v>
      </c>
    </row>
    <row r="140" spans="1:5" x14ac:dyDescent="0.25">
      <c r="A140" s="24">
        <v>7.7</v>
      </c>
      <c r="B140" s="24">
        <v>3</v>
      </c>
      <c r="C140" s="24">
        <v>6.1</v>
      </c>
      <c r="D140" s="24">
        <v>2.2999999999999998</v>
      </c>
      <c r="E140" s="24" t="s">
        <v>231</v>
      </c>
    </row>
    <row r="141" spans="1:5" x14ac:dyDescent="0.25">
      <c r="A141" s="24">
        <v>6.3</v>
      </c>
      <c r="B141" s="24">
        <v>3.4</v>
      </c>
      <c r="C141" s="24">
        <v>5.6</v>
      </c>
      <c r="D141" s="24">
        <v>2.4</v>
      </c>
      <c r="E141" s="24" t="s">
        <v>231</v>
      </c>
    </row>
    <row r="142" spans="1:5" x14ac:dyDescent="0.25">
      <c r="A142" s="24">
        <v>6.4</v>
      </c>
      <c r="B142" s="24">
        <v>3.1</v>
      </c>
      <c r="C142" s="24">
        <v>5.5</v>
      </c>
      <c r="D142" s="24">
        <v>1.8</v>
      </c>
      <c r="E142" s="24" t="s">
        <v>231</v>
      </c>
    </row>
    <row r="143" spans="1:5" x14ac:dyDescent="0.25">
      <c r="A143" s="24">
        <v>6</v>
      </c>
      <c r="B143" s="24">
        <v>3</v>
      </c>
      <c r="C143" s="24">
        <v>4.8</v>
      </c>
      <c r="D143" s="24">
        <v>1.8</v>
      </c>
      <c r="E143" s="24" t="s">
        <v>231</v>
      </c>
    </row>
    <row r="144" spans="1:5" x14ac:dyDescent="0.25">
      <c r="A144" s="24">
        <v>6.9</v>
      </c>
      <c r="B144" s="24">
        <v>3.1</v>
      </c>
      <c r="C144" s="24">
        <v>5.4</v>
      </c>
      <c r="D144" s="24">
        <v>2.1</v>
      </c>
      <c r="E144" s="24" t="s">
        <v>231</v>
      </c>
    </row>
    <row r="145" spans="1:5" x14ac:dyDescent="0.25">
      <c r="A145" s="24">
        <v>6.7</v>
      </c>
      <c r="B145" s="24">
        <v>3.1</v>
      </c>
      <c r="C145" s="24">
        <v>5.6</v>
      </c>
      <c r="D145" s="24">
        <v>2.4</v>
      </c>
      <c r="E145" s="24" t="s">
        <v>231</v>
      </c>
    </row>
    <row r="146" spans="1:5" x14ac:dyDescent="0.25">
      <c r="A146" s="24">
        <v>6.9</v>
      </c>
      <c r="B146" s="24">
        <v>3.1</v>
      </c>
      <c r="C146" s="24">
        <v>5.0999999999999996</v>
      </c>
      <c r="D146" s="24">
        <v>2.2999999999999998</v>
      </c>
      <c r="E146" s="24" t="s">
        <v>231</v>
      </c>
    </row>
    <row r="147" spans="1:5" x14ac:dyDescent="0.25">
      <c r="A147" s="24">
        <v>5.8</v>
      </c>
      <c r="B147" s="24">
        <v>2.7</v>
      </c>
      <c r="C147" s="24">
        <v>5.0999999999999996</v>
      </c>
      <c r="D147" s="24">
        <v>1.9</v>
      </c>
      <c r="E147" s="24" t="s">
        <v>231</v>
      </c>
    </row>
    <row r="148" spans="1:5" x14ac:dyDescent="0.25">
      <c r="A148" s="24">
        <v>6.8</v>
      </c>
      <c r="B148" s="24">
        <v>3.2</v>
      </c>
      <c r="C148" s="24">
        <v>5.9</v>
      </c>
      <c r="D148" s="24">
        <v>2.2999999999999998</v>
      </c>
      <c r="E148" s="24" t="s">
        <v>231</v>
      </c>
    </row>
    <row r="149" spans="1:5" x14ac:dyDescent="0.25">
      <c r="A149" s="24">
        <v>6.7</v>
      </c>
      <c r="B149" s="24">
        <v>3.3</v>
      </c>
      <c r="C149" s="24">
        <v>5.7</v>
      </c>
      <c r="D149" s="24">
        <v>2.5</v>
      </c>
      <c r="E149" s="24" t="s">
        <v>231</v>
      </c>
    </row>
    <row r="150" spans="1:5" x14ac:dyDescent="0.25">
      <c r="A150" s="24">
        <v>6.7</v>
      </c>
      <c r="B150" s="24">
        <v>3</v>
      </c>
      <c r="C150" s="24">
        <v>5.2</v>
      </c>
      <c r="D150" s="24">
        <v>2.2999999999999998</v>
      </c>
      <c r="E150" s="24" t="s">
        <v>231</v>
      </c>
    </row>
    <row r="151" spans="1:5" x14ac:dyDescent="0.25">
      <c r="A151" s="24">
        <v>6.3</v>
      </c>
      <c r="B151" s="24">
        <v>2.5</v>
      </c>
      <c r="C151" s="24">
        <v>5</v>
      </c>
      <c r="D151" s="24">
        <v>1.9</v>
      </c>
      <c r="E151" s="24" t="s">
        <v>231</v>
      </c>
    </row>
    <row r="152" spans="1:5" x14ac:dyDescent="0.25">
      <c r="A152" s="24">
        <v>6.5</v>
      </c>
      <c r="B152" s="24">
        <v>3</v>
      </c>
      <c r="C152" s="24">
        <v>5.2</v>
      </c>
      <c r="D152" s="24">
        <v>2</v>
      </c>
      <c r="E152" s="24" t="s">
        <v>231</v>
      </c>
    </row>
    <row r="153" spans="1:5" x14ac:dyDescent="0.25">
      <c r="A153" s="24">
        <v>6.2</v>
      </c>
      <c r="B153" s="24">
        <v>3.4</v>
      </c>
      <c r="C153" s="24">
        <v>5.4</v>
      </c>
      <c r="D153" s="24">
        <v>2.2999999999999998</v>
      </c>
      <c r="E153" s="24" t="s">
        <v>231</v>
      </c>
    </row>
    <row r="154" spans="1:5" x14ac:dyDescent="0.25">
      <c r="A154" s="24">
        <v>5.9</v>
      </c>
      <c r="B154" s="24">
        <v>3</v>
      </c>
      <c r="C154" s="24">
        <v>5.0999999999999996</v>
      </c>
      <c r="D154" s="24">
        <v>1.8</v>
      </c>
      <c r="E154" s="24" t="s">
        <v>231</v>
      </c>
    </row>
    <row r="155" spans="1:5" x14ac:dyDescent="0.25">
      <c r="A155" s="46" t="s">
        <v>230</v>
      </c>
      <c r="B155" s="46"/>
      <c r="C155" s="46"/>
      <c r="D155" s="46"/>
      <c r="E155" s="46"/>
    </row>
  </sheetData>
  <mergeCells count="23">
    <mergeCell ref="A1:G1"/>
    <mergeCell ref="A155:E155"/>
    <mergeCell ref="G5:G8"/>
    <mergeCell ref="H5:H8"/>
    <mergeCell ref="I5:I8"/>
    <mergeCell ref="G13:G17"/>
    <mergeCell ref="G27:G40"/>
    <mergeCell ref="H27:H40"/>
    <mergeCell ref="I27:I40"/>
    <mergeCell ref="G9:G12"/>
    <mergeCell ref="G3:H3"/>
    <mergeCell ref="J13:J17"/>
    <mergeCell ref="G18:G26"/>
    <mergeCell ref="H18:H26"/>
    <mergeCell ref="I18:I26"/>
    <mergeCell ref="J18:J26"/>
    <mergeCell ref="J5:J8"/>
    <mergeCell ref="H9:H12"/>
    <mergeCell ref="I9:I12"/>
    <mergeCell ref="J9:J12"/>
    <mergeCell ref="J27:J40"/>
    <mergeCell ref="H13:H17"/>
    <mergeCell ref="I13:I1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zoomScale="130" zoomScaleNormal="130" workbookViewId="0">
      <selection activeCell="I4" sqref="I4"/>
    </sheetView>
  </sheetViews>
  <sheetFormatPr defaultRowHeight="12.75" x14ac:dyDescent="0.2"/>
  <cols>
    <col min="1" max="1" width="5.7109375"/>
    <col min="2" max="2" width="19.7109375"/>
    <col min="3" max="3" width="24.5703125"/>
    <col min="4" max="4" width="31.28515625"/>
    <col min="5" max="5" width="79.85546875" customWidth="1"/>
  </cols>
  <sheetData>
    <row r="1" spans="1:8" ht="45.75" thickBot="1" x14ac:dyDescent="0.3">
      <c r="A1" s="1" t="s">
        <v>0</v>
      </c>
      <c r="B1" s="2" t="s">
        <v>7</v>
      </c>
      <c r="C1" s="1" t="s">
        <v>11</v>
      </c>
      <c r="D1" s="3" t="s">
        <v>18</v>
      </c>
    </row>
    <row r="2" spans="1:8" ht="13.5" thickBot="1" x14ac:dyDescent="0.25">
      <c r="A2" s="4" t="s">
        <v>1</v>
      </c>
      <c r="B2" s="5" t="s">
        <v>2</v>
      </c>
      <c r="C2" s="5" t="s">
        <v>3</v>
      </c>
      <c r="D2" s="5" t="s">
        <v>4</v>
      </c>
      <c r="E2" s="34" t="s">
        <v>264</v>
      </c>
      <c r="F2" s="32" t="s">
        <v>259</v>
      </c>
      <c r="G2" s="32" t="s">
        <v>261</v>
      </c>
      <c r="H2" s="32" t="s">
        <v>263</v>
      </c>
    </row>
    <row r="3" spans="1:8" ht="60.75" thickBot="1" x14ac:dyDescent="0.25">
      <c r="A3" s="6" t="s">
        <v>1</v>
      </c>
      <c r="B3" s="7" t="s">
        <v>8</v>
      </c>
      <c r="C3" s="8" t="s">
        <v>12</v>
      </c>
      <c r="D3" s="17" t="s">
        <v>211</v>
      </c>
      <c r="E3" t="str" cm="1" vm="6">
        <f t="array" ref="E3">_xlfn._xlws.PY(5,1,D3)</f>
        <v>{"oil": {"C1": [0.007, "млн.т."], "D1": [0.3, "млн т"]}, "gas": {"C1": [0.588, "млрд. м3."]}}</v>
      </c>
      <c r="F3" t="s">
        <v>260</v>
      </c>
      <c r="G3" s="33" t="s">
        <v>262</v>
      </c>
      <c r="H3" t="str">
        <f>CONCATENATE("insert into rosnedra.blocks_hcs_forecast(year, datestamp, region, block_name, source, url, resources_raw, resources_parsed) values(2025, '2025-01-15', '", B3, "', e'", C3, "', '", F3, "', e'", G3, "', e'", D3, "', '", E3, "'),")</f>
        <v>insert into rosnedra.blocks_hcs_forecast(year, datestamp, region, block_name, source, url, resources_raw, resources_parsed) values(2025, '2025-01-15', 'Волгоградская область', e'Линевский',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C1 - 0,007 млн.т.,
D1 - 0,3 млн т
газ
C1 - 0.588 млрд. м3.', '{"oil": {"C1": [0.007, "млн.т."], "D1": [0.3, "млн т"]}, "gas": {"C1": [0.588, "млрд. м3."]}}'),</v>
      </c>
    </row>
    <row r="4" spans="1:8" ht="88.5" thickBot="1" x14ac:dyDescent="0.25">
      <c r="A4" s="6" t="s">
        <v>2</v>
      </c>
      <c r="B4" s="6" t="s">
        <v>9</v>
      </c>
      <c r="C4" s="8" t="s">
        <v>13</v>
      </c>
      <c r="D4" s="21" t="s">
        <v>212</v>
      </c>
      <c r="E4" t="str" cm="1" vm="7">
        <f t="array" ref="E4">_xlfn._xlws.PY(5,1,D4)</f>
        <v>{"oil": {"D1": [0.4, "млн.т."], "D2": [1.8, "млн.т."]}, "gas": {"D1": [64.7, "млрд.мЗ"], "D2": [17.8, "млрд.мЗ"]}, "cond": {"D1": [3.9, "млн.т."], "D2": [1.1, "млн.т."]}}</v>
      </c>
      <c r="F4" t="s">
        <v>260</v>
      </c>
      <c r="G4" s="33" t="s">
        <v>262</v>
      </c>
      <c r="H4" t="str">
        <f>CONCATENATE("(2025, '2025-01-15', '", B4, "', e'", C4, "', '", F4, "', e'", G4, "', e'", D4, "', '", E4, "'),")</f>
        <v>(2025, '2025-01-15', 'Иркутская область', e'Усть-Ордынский',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D1-0.4млн.т.,
D2-1.8млн.т.,
газ
D1 - 64.7 млрд.мЗ,
D2 -17.8 млрд.мЗ,
Конденсат
D1 -3,9 млн.т.
D2 - 1,1 млн.т.', '{"oil": {"D1": [0.4, "млн.т."], "D2": [1.8, "млн.т."]}, "gas": {"D1": [64.7, "млрд.мЗ"], "D2": [17.8, "млрд.мЗ"]}, "cond": {"D1": [3.9, "млн.т."], "D2": [1.1, "млн.т."]}}'),</v>
      </c>
    </row>
    <row r="5" spans="1:8" ht="88.5" thickBot="1" x14ac:dyDescent="0.25">
      <c r="A5" s="6" t="s">
        <v>3</v>
      </c>
      <c r="B5" s="6" t="s">
        <v>9</v>
      </c>
      <c r="C5" s="8" t="s">
        <v>14</v>
      </c>
      <c r="D5" s="21" t="s">
        <v>213</v>
      </c>
      <c r="E5" t="str" cm="1" vm="8">
        <f t="array" ref="E5">_xlfn._xlws.PY(5,1,D5)</f>
        <v>{"oil": {"D1": [0.5, "млн.т."], "D2": [2.4, "млн.т."]}, "gas": {"D1": [84.0, "млрд.мЗ"], "D2": [2.0, "З.1"]}, "cond": {"D1": [5.0, "млн.т."], "D2": [1.5, "млн.т."]}}</v>
      </c>
      <c r="F5" t="s">
        <v>260</v>
      </c>
      <c r="G5" s="33" t="s">
        <v>262</v>
      </c>
      <c r="H5" t="str">
        <f t="shared" ref="H5:H68" si="0">CONCATENATE("(2025, '2025-01-15', '", B5, "', e'", C5, "', '", F5, "', e'", G5, "', e'", D5, "', '", E5, "'),")</f>
        <v>(2025, '2025-01-15', 'Иркутская область', e'Качугский',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D1-1-0.5млн.т.,
D2-2.4млн.т.,
газ
D1 - 84.0 млрд.мЗ,
D2 -2З.1 млрд.мЗ,
Конденсат
D1 -5.0 млн.т.
D2 - 1,5 млн.т.', '{"oil": {"D1": [0.5, "млн.т."], "D2": [2.4, "млн.т."]}, "gas": {"D1": [84.0, "млрд.мЗ"], "D2": [2.0, "З.1"]}, "cond": {"D1": [5.0, "млн.т."], "D2": [1.5, "млн.т."]}}'),</v>
      </c>
    </row>
    <row r="6" spans="1:8" ht="88.5" thickBot="1" x14ac:dyDescent="0.25">
      <c r="A6" s="6" t="s">
        <v>4</v>
      </c>
      <c r="B6" s="6" t="s">
        <v>9</v>
      </c>
      <c r="C6" s="8" t="s">
        <v>15</v>
      </c>
      <c r="D6" s="22" t="s">
        <v>214</v>
      </c>
      <c r="E6" t="str" cm="1" vm="9">
        <f t="array" ref="E6">_xlfn._xlws.PY(5,1,D6)</f>
        <v>{"oil": {"D1": [0.2, "млн.т."], "D2": [1.2, "млн.т."]}, "gas": {"D1": [42.2, "млрд.мЗ"], "D2": [11.6, "млрд.мЗ"]}, "cond": {"D1": [2.5, "млн.т."], "D2": [0.7, "млн.т."]}}</v>
      </c>
      <c r="F6" t="s">
        <v>260</v>
      </c>
      <c r="G6" s="33" t="s">
        <v>262</v>
      </c>
      <c r="H6" t="str">
        <f t="shared" si="0"/>
        <v>(2025, '2025-01-15', 'Иркутская область', e'Восточно-Ордынский',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D1-0.2млн.т.,
D2-1.2млн.т.,
газ
D1 - 42.2 млрд.мЗ,
D2 -11.6 млрд.мЗ,
Конденсат
D1 -2.5 млн.т.
D2 - 0.7 млн.т.', '{"oil": {"D1": [0.2, "млн.т."], "D2": [1.2, "млн.т."]}, "gas": {"D1": [42.2, "млрд.мЗ"], "D2": [11.6, "млрд.мЗ"]}, "cond": {"D1": [2.5, "млн.т."], "D2": [0.7, "млн.т."]}}'),</v>
      </c>
    </row>
    <row r="7" spans="1:8" ht="24.75" thickBot="1" x14ac:dyDescent="0.25">
      <c r="A7" s="6" t="s">
        <v>5</v>
      </c>
      <c r="B7" s="7" t="s">
        <v>10</v>
      </c>
      <c r="C7" s="8" t="s">
        <v>16</v>
      </c>
      <c r="D7" s="17" t="s">
        <v>215</v>
      </c>
      <c r="E7" t="str" cm="1" vm="10">
        <f t="array" ref="E7">_xlfn._xlws.PY(5,1,D7)</f>
        <v>{"oil": {"D0": [2.904, "млн.т."]}}</v>
      </c>
      <c r="F7" t="s">
        <v>260</v>
      </c>
      <c r="G7" s="33" t="s">
        <v>262</v>
      </c>
      <c r="H7" t="str">
        <f t="shared" si="0"/>
        <v>(2025, '2025-01-15', 'Оренбургская область', e'Загорский',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D0 -2,904 млн.т.', '{"oil": {"D0": [2.904, "млн.т."]}}'),</v>
      </c>
    </row>
    <row r="8" spans="1:8" ht="24.75" thickBot="1" x14ac:dyDescent="0.25">
      <c r="A8" s="6" t="s">
        <v>6</v>
      </c>
      <c r="B8" s="7" t="s">
        <v>10</v>
      </c>
      <c r="C8" s="8" t="s">
        <v>17</v>
      </c>
      <c r="D8" s="17" t="s">
        <v>216</v>
      </c>
      <c r="E8" t="str" cm="1" vm="11">
        <f t="array" ref="E8">_xlfn._xlws.PY(5,1,D8)</f>
        <v>{"oil": {"D0": [0.575, "млн.т."]}}</v>
      </c>
      <c r="F8" t="s">
        <v>260</v>
      </c>
      <c r="G8" s="33" t="s">
        <v>262</v>
      </c>
      <c r="H8" t="str">
        <f t="shared" si="0"/>
        <v>(2025, '2025-01-15', 'Оренбургская область', e'Богородский',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D0 -0.575 млн.т.', '{"oil": {"D0": [0.575, "млн.т."]}}'),</v>
      </c>
    </row>
    <row r="9" spans="1:8" ht="108.75" thickBot="1" x14ac:dyDescent="0.25">
      <c r="A9" s="6" t="s">
        <v>19</v>
      </c>
      <c r="B9" s="7" t="s">
        <v>10</v>
      </c>
      <c r="C9" s="8" t="s">
        <v>34</v>
      </c>
      <c r="D9" s="23" t="s">
        <v>217</v>
      </c>
      <c r="E9" t="str" cm="1" vm="12">
        <f t="array" ref="E9">_xlfn._xlws.PY(5,1,D9)</f>
        <v>{"oil": {"D0": [2.008, "млн.т."], "Dл": [16.675, "млн.т."], "D1": [5.969, "млн.т."]}, "gas": {"Dл": [1.845, "млрд"], "D1": [1.704, "млрд.мЗ"]}, "cond": {"D1": [0.336, "млн.т"]}}</v>
      </c>
      <c r="F9" t="s">
        <v>260</v>
      </c>
      <c r="G9" s="33" t="s">
        <v>262</v>
      </c>
      <c r="H9" t="str">
        <f t="shared" si="0"/>
        <v>(2025, '2025-01-15', 'Оренбургская область', e'Дружный',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D0 -2,008 млн.т.,
Dл - 16,675 млн.т..
D1 -5,969 млн.т.
газ
Dл - 1,845 млрд, м3.
D1 - 1,704 млрд.мЗ,
конденсат
D1 -0,336 млн.т', '{"oil": {"D0": [2.008, "млн.т."], "Dл": [16.675, "млн.т."], "D1": [5.969, "млн.т."]}, "gas": {"Dл": [1.845, "млрд"], "D1": [1.704, "млрд.мЗ"]}, "cond": {"D1": [0.336, "млн.т"]}}'),</v>
      </c>
    </row>
    <row r="10" spans="1:8" ht="96.75" thickBot="1" x14ac:dyDescent="0.25">
      <c r="A10" s="6" t="s">
        <v>20</v>
      </c>
      <c r="B10" s="7" t="s">
        <v>10</v>
      </c>
      <c r="C10" s="8" t="s">
        <v>35</v>
      </c>
      <c r="D10" s="23" t="s">
        <v>218</v>
      </c>
      <c r="E10" t="str" cm="1" vm="13">
        <f t="array" ref="E10">_xlfn._xlws.PY(5,1,D10)</f>
        <v>{"oil": {"Dл": [9.125, "млн.т."], "D1": [96.4, "млн.т"]}, "gas": {"Dл": [16.525, "млрд"], "D1": [51.309, "млрд.м3."]}, "cond": {"Dл": [1.297, "млн.т"]}}</v>
      </c>
      <c r="F10" t="s">
        <v>260</v>
      </c>
      <c r="G10" s="33" t="s">
        <v>262</v>
      </c>
      <c r="H10" t="str">
        <f t="shared" si="0"/>
        <v>(2025, '2025-01-15', 'Оренбургская область', e'Предуральский',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-9.125 млн.т.,
D1 -96.4 млн.т,
газ
Dл - 16.525 млрд, м3.
D1 - 51.309 млрд.м3.
конденсат
Dл - 1.297 млн.т', '{"oil": {"Dл": [9.125, "млн.т."], "D1": [96.4, "млн.т"]}, "gas": {"Dл": [16.525, "млрд"], "D1": [51.309, "млрд.м3."]}, "cond": {"Dл": [1.297, "млн.т"]}}'),</v>
      </c>
    </row>
    <row r="11" spans="1:8" ht="48.75" thickBot="1" x14ac:dyDescent="0.25">
      <c r="A11" s="11" t="s">
        <v>21</v>
      </c>
      <c r="B11" s="7" t="s">
        <v>10</v>
      </c>
      <c r="C11" s="8" t="s">
        <v>36</v>
      </c>
      <c r="D11" s="17" t="s">
        <v>219</v>
      </c>
      <c r="E11" t="str" cm="1" vm="14">
        <f t="array" ref="E11">_xlfn._xlws.PY(5,1,D11)</f>
        <v>{"oil": {"C1": [0.565, "млн.т"], "C2": [0.417, "млн.т"], "D1": [1.517, "млн.т"]}}</v>
      </c>
      <c r="F11" t="s">
        <v>260</v>
      </c>
      <c r="G11" s="33" t="s">
        <v>262</v>
      </c>
      <c r="H11" t="str">
        <f t="shared" si="0"/>
        <v>(2025, '2025-01-15', 'Оренбургская область', e'Сокский',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(извл)
C1-0,565 млн.т
C2 - 0,417 млн.т
D1-1,517 млн.т', '{"oil": {"C1": [0.565, "млн.т"], "C2": [0.417, "млн.т"], "D1": [1.517, "млн.т"]}}'),</v>
      </c>
    </row>
    <row r="12" spans="1:8" ht="24.75" thickBot="1" x14ac:dyDescent="0.25">
      <c r="A12" s="6" t="s">
        <v>22</v>
      </c>
      <c r="B12" s="7" t="s">
        <v>10</v>
      </c>
      <c r="C12" s="8" t="s">
        <v>37</v>
      </c>
      <c r="D12" s="17" t="s">
        <v>220</v>
      </c>
      <c r="E12" t="str" cm="1" vm="15">
        <f t="array" ref="E12">_xlfn._xlws.PY(5,1,D12)</f>
        <v>{"oil": {"C1": [0.296, "млн.т"]}}</v>
      </c>
      <c r="F12" t="s">
        <v>260</v>
      </c>
      <c r="G12" s="33" t="s">
        <v>262</v>
      </c>
      <c r="H12" t="str">
        <f t="shared" si="0"/>
        <v>(2025, '2025-01-15', 'Оренбургская область', e'Соболевский',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(извл)
С1-0,296 млн.т', '{"oil": {"C1": [0.296, "млн.т"]}}'),</v>
      </c>
    </row>
    <row r="13" spans="1:8" ht="24.75" thickBot="1" x14ac:dyDescent="0.25">
      <c r="A13" s="6" t="s">
        <v>23</v>
      </c>
      <c r="B13" s="12" t="s">
        <v>33</v>
      </c>
      <c r="C13" s="8" t="s">
        <v>38</v>
      </c>
      <c r="D13" s="17" t="s">
        <v>221</v>
      </c>
      <c r="E13" t="str" cm="1" vm="16">
        <f t="array" ref="E13">_xlfn._xlws.PY(5,1,D13)</f>
        <v>{"oil": {"D1": [7.2, "млн.т"]}}</v>
      </c>
      <c r="F13" t="s">
        <v>260</v>
      </c>
      <c r="G13" s="33" t="s">
        <v>262</v>
      </c>
      <c r="H13" t="str">
        <f t="shared" si="0"/>
        <v>(2025, '2025-01-15', 'Пермский край', e'Таманский',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D1-7,2 млн.т', '{"oil": {"D1": [7.2, "млн.т"]}}'),</v>
      </c>
    </row>
    <row r="14" spans="1:8" ht="24.75" thickBot="1" x14ac:dyDescent="0.25">
      <c r="A14" s="6" t="s">
        <v>24</v>
      </c>
      <c r="B14" s="12" t="s">
        <v>33</v>
      </c>
      <c r="C14" s="8" t="s">
        <v>39</v>
      </c>
      <c r="D14" s="17" t="s">
        <v>222</v>
      </c>
      <c r="E14" t="str" cm="1" vm="17">
        <f t="array" ref="E14">_xlfn._xlws.PY(5,1,D14)</f>
        <v>{"oil": {"D1": [2.1, "млн.т"]}}</v>
      </c>
      <c r="F14" t="s">
        <v>260</v>
      </c>
      <c r="G14" s="33" t="s">
        <v>262</v>
      </c>
      <c r="H14" t="str">
        <f t="shared" si="0"/>
        <v>(2025, '2025-01-15', 'Пермский край', e'Челванский',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D1-2,1 млн.т', '{"oil": {"D1": [2.1, "млн.т"]}}'),</v>
      </c>
    </row>
    <row r="15" spans="1:8" ht="24.75" thickBot="1" x14ac:dyDescent="0.25">
      <c r="A15" s="6" t="s">
        <v>25</v>
      </c>
      <c r="B15" s="12" t="s">
        <v>33</v>
      </c>
      <c r="C15" s="8" t="s">
        <v>40</v>
      </c>
      <c r="D15" s="17" t="s">
        <v>223</v>
      </c>
      <c r="E15" t="str" cm="1" vm="18">
        <f t="array" ref="E15">_xlfn._xlws.PY(5,1,D15)</f>
        <v>{"oil": {"D1": [2.7, "млн.т"]}}</v>
      </c>
      <c r="F15" t="s">
        <v>260</v>
      </c>
      <c r="G15" s="33" t="s">
        <v>262</v>
      </c>
      <c r="H15" t="str">
        <f t="shared" si="0"/>
        <v>(2025, '2025-01-15', 'Пермский край', e'Сосновый',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D1-2,7 млн.т', '{"oil": {"D1": [2.7, "млн.т"]}}'),</v>
      </c>
    </row>
    <row r="16" spans="1:8" ht="36.75" thickBot="1" x14ac:dyDescent="0.25">
      <c r="A16" s="6" t="s">
        <v>26</v>
      </c>
      <c r="B16" s="12" t="s">
        <v>33</v>
      </c>
      <c r="C16" s="8" t="s">
        <v>41</v>
      </c>
      <c r="D16" s="17" t="s">
        <v>224</v>
      </c>
      <c r="E16" t="str" cm="1" vm="19">
        <f t="array" ref="E16">_xlfn._xlws.PY(5,1,D16)</f>
        <v>{"oil": {"Dл": [0.9, "млн.т."], "D1": [0.7, "млн.т."]}}</v>
      </c>
      <c r="F16" t="s">
        <v>260</v>
      </c>
      <c r="G16" s="33" t="s">
        <v>262</v>
      </c>
      <c r="H16" t="str">
        <f t="shared" si="0"/>
        <v>(2025, '2025-01-15', 'Пермский край', e'Сестринский',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- 0.9 млн.т.
D1 - 0.7 млн.т.', '{"oil": {"Dл": [0.9, "млн.т."], "D1": [0.7, "млн.т."]}}'),</v>
      </c>
    </row>
    <row r="17" spans="1:8" ht="36.75" thickBot="1" x14ac:dyDescent="0.25">
      <c r="A17" s="6" t="s">
        <v>27</v>
      </c>
      <c r="B17" s="12" t="s">
        <v>33</v>
      </c>
      <c r="C17" s="8" t="s">
        <v>42</v>
      </c>
      <c r="D17" s="17" t="s">
        <v>225</v>
      </c>
      <c r="E17" t="str" cm="1" vm="20">
        <f t="array" ref="E17">_xlfn._xlws.PY(5,1,D17)</f>
        <v>{"oil": {"Dл": [1.0, "млн.т."], "D1": [0.8, "млн.т."]}}</v>
      </c>
      <c r="F17" t="s">
        <v>260</v>
      </c>
      <c r="G17" s="33" t="s">
        <v>262</v>
      </c>
      <c r="H17" t="str">
        <f t="shared" si="0"/>
        <v>(2025, '2025-01-15', 'Пермский край', e'Черноречный',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-1.0 млн.т.
D1 -0.8 млн.т.', '{"oil": {"Dл": [1.0, "млн.т."], "D1": [0.8, "млн.т."]}}'),</v>
      </c>
    </row>
    <row r="18" spans="1:8" ht="36.75" thickBot="1" x14ac:dyDescent="0.25">
      <c r="A18" s="6" t="s">
        <v>28</v>
      </c>
      <c r="B18" s="12" t="s">
        <v>33</v>
      </c>
      <c r="C18" s="8" t="s">
        <v>43</v>
      </c>
      <c r="D18" s="23" t="s">
        <v>226</v>
      </c>
      <c r="E18" t="str" cm="1" vm="21">
        <f t="array" ref="E18">_xlfn._xlws.PY(5,1,D18)</f>
        <v>{"oil": {"Dл": [0.3, "млн.т."], "D1": [0.1, "млн.т"]}}</v>
      </c>
      <c r="F18" t="s">
        <v>260</v>
      </c>
      <c r="G18" s="33" t="s">
        <v>262</v>
      </c>
      <c r="H18" t="str">
        <f t="shared" si="0"/>
        <v>(2025, '2025-01-15', 'Пермский край', e'Половодовский',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- 0.3 млн.т.
D1 - 0.1 млн.т,', '{"oil": {"Dл": [0.3, "млн.т."], "D1": [0.1, "млн.т"]}}'),</v>
      </c>
    </row>
    <row r="19" spans="1:8" ht="36.75" thickBot="1" x14ac:dyDescent="0.25">
      <c r="A19" s="6" t="s">
        <v>29</v>
      </c>
      <c r="B19" s="12" t="s">
        <v>33</v>
      </c>
      <c r="C19" s="8" t="s">
        <v>44</v>
      </c>
      <c r="D19" s="23" t="s">
        <v>226</v>
      </c>
      <c r="E19" t="str" cm="1" vm="21">
        <f t="array" ref="E19">_xlfn._xlws.PY(5,1,D19)</f>
        <v>{"oil": {"Dл": [0.3, "млн.т."], "D1": [0.1, "млн.т"]}}</v>
      </c>
      <c r="F19" t="s">
        <v>260</v>
      </c>
      <c r="G19" s="33" t="s">
        <v>262</v>
      </c>
      <c r="H19" t="str">
        <f t="shared" si="0"/>
        <v>(2025, '2025-01-15', 'Пермский край', e'Вильвенский',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- 0.3 млн.т.
D1 - 0.1 млн.т,', '{"oil": {"Dл": [0.3, "млн.т."], "D1": [0.1, "млн.т"]}}'),</v>
      </c>
    </row>
    <row r="20" spans="1:8" ht="36.75" thickBot="1" x14ac:dyDescent="0.25">
      <c r="A20" s="6" t="s">
        <v>30</v>
      </c>
      <c r="B20" s="12" t="s">
        <v>33</v>
      </c>
      <c r="C20" s="8" t="s">
        <v>45</v>
      </c>
      <c r="D20" s="17" t="s">
        <v>227</v>
      </c>
      <c r="E20" t="str" cm="1" vm="22">
        <f t="array" ref="E20">_xlfn._xlws.PY(5,1,D20)</f>
        <v>{"oil": {"Dл": [0.3, "млн.т."], "D1": [0.2, "млн.т."]}}</v>
      </c>
      <c r="F20" t="s">
        <v>260</v>
      </c>
      <c r="G20" s="33" t="s">
        <v>262</v>
      </c>
      <c r="H20" t="str">
        <f t="shared" si="0"/>
        <v>(2025, '2025-01-15', 'Пермский край', e'Малыгинский',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-0.3 млн.т.
D1 - 0.2 млн.т.', '{"oil": {"Dл": [0.3, "млн.т."], "D1": [0.2, "млн.т."]}}'),</v>
      </c>
    </row>
    <row r="21" spans="1:8" ht="36.75" thickBot="1" x14ac:dyDescent="0.25">
      <c r="A21" s="6" t="s">
        <v>31</v>
      </c>
      <c r="B21" s="12" t="s">
        <v>33</v>
      </c>
      <c r="C21" s="8" t="s">
        <v>46</v>
      </c>
      <c r="D21" s="23" t="s">
        <v>228</v>
      </c>
      <c r="E21" t="str" cm="1" vm="23">
        <f t="array" ref="E21">_xlfn._xlws.PY(5,1,D21)</f>
        <v>{"oil": {"Dл": [0.7, "млн.т."], "D1": [0.5, "млн.т."]}}</v>
      </c>
      <c r="F21" t="s">
        <v>260</v>
      </c>
      <c r="G21" s="33" t="s">
        <v>262</v>
      </c>
      <c r="H21" t="str">
        <f t="shared" si="0"/>
        <v>(2025, '2025-01-15', 'Пермский край', e'Бердышевский',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- 0.7 млн.т.
D1 -0.5 млн.т.', '{"oil": {"Dл": [0.7, "млн.т."], "D1": [0.5, "млн.т."]}}'),</v>
      </c>
    </row>
    <row r="22" spans="1:8" ht="36.75" thickBot="1" x14ac:dyDescent="0.25">
      <c r="A22" s="6" t="s">
        <v>32</v>
      </c>
      <c r="B22" s="12" t="s">
        <v>33</v>
      </c>
      <c r="C22" s="8" t="s">
        <v>47</v>
      </c>
      <c r="D22" s="17" t="s">
        <v>229</v>
      </c>
      <c r="E22" t="str" cm="1" vm="24">
        <f t="array" ref="E22">_xlfn._xlws.PY(5,1,D22)</f>
        <v>{"oil": {"Dл": [1.1, "млн.т."], "D1": [0.9, "млн.т."]}}</v>
      </c>
      <c r="F22" t="s">
        <v>260</v>
      </c>
      <c r="G22" s="33" t="s">
        <v>262</v>
      </c>
      <c r="H22" t="str">
        <f t="shared" si="0"/>
        <v>(2025, '2025-01-15', 'Пермский край', e'Ольховский',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-1.1 млн.т.
D1 - 0.9 млн.т.', '{"oil": {"Dл": [1.1, "млн.т."], "D1": [0.9, "млн.т."]}}'),</v>
      </c>
    </row>
    <row r="23" spans="1:8" ht="84.75" thickBot="1" x14ac:dyDescent="0.25">
      <c r="A23" s="6" t="s">
        <v>48</v>
      </c>
      <c r="B23" s="12" t="s">
        <v>33</v>
      </c>
      <c r="C23" s="8" t="s">
        <v>62</v>
      </c>
      <c r="D23" s="17" t="s">
        <v>158</v>
      </c>
      <c r="E23" t="str" cm="1" vm="25">
        <f t="array" ref="E23">_xlfn._xlws.PY(5,1,D23)</f>
        <v>{"oil": {"Dл": [0.1, "млн. т."], "D1": [1.2, "млн.т."], "D2": [0.5, "млн.т."]}, "gas": {"D1": [0.5, "млрд. М3"], "D2": [0.2, "млрд. М3"]}}</v>
      </c>
      <c r="F23" t="s">
        <v>260</v>
      </c>
      <c r="G23" s="33" t="s">
        <v>262</v>
      </c>
      <c r="H23" t="str">
        <f t="shared" si="0"/>
        <v>(2025, '2025-01-15', 'Пермский край', e'Сылвенский',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- 0,1 млн. т.
D1 - 1, 2 млн.т.
D2 - 0, 5 млн.т.
газ
D1 - 0,5 млрд. М3
D2 - 0, 2 млрд. М3', '{"oil": {"Dл": [0.1, "млн. т."], "D1": [1.2, "млн.т."], "D2": [0.5, "млн.т."]}, "gas": {"D1": [0.5, "млрд. М3"], "D2": [0.2, "млрд. М3"]}}'),</v>
      </c>
    </row>
    <row r="24" spans="1:8" ht="24.75" thickBot="1" x14ac:dyDescent="0.25">
      <c r="A24" s="6" t="s">
        <v>49</v>
      </c>
      <c r="B24" s="12" t="s">
        <v>33</v>
      </c>
      <c r="C24" s="8" t="s">
        <v>63</v>
      </c>
      <c r="D24" s="17" t="s">
        <v>157</v>
      </c>
      <c r="E24" t="str" cm="1" vm="26">
        <f t="array" ref="E24">_xlfn._xlws.PY(5,1,D24)</f>
        <v>{"oil": {"D0": [0.746, "млн. т"]}}</v>
      </c>
      <c r="F24" t="s">
        <v>260</v>
      </c>
      <c r="G24" s="33" t="s">
        <v>262</v>
      </c>
      <c r="H24" t="str">
        <f t="shared" si="0"/>
        <v>(2025, '2025-01-15', 'Пермский край', e'Шитоевский',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D0 - 0,746 млн. т', '{"oil": {"D0": [0.746, "млн. т"]}}'),</v>
      </c>
    </row>
    <row r="25" spans="1:8" ht="48.75" thickBot="1" x14ac:dyDescent="0.25">
      <c r="A25" s="6" t="s">
        <v>50</v>
      </c>
      <c r="B25" s="9" t="s">
        <v>59</v>
      </c>
      <c r="C25" s="8" t="s">
        <v>64</v>
      </c>
      <c r="D25" s="17" t="s">
        <v>156</v>
      </c>
      <c r="E25" t="str" cm="1" vm="27">
        <f t="array" ref="E25">_xlfn._xlws.PY(5,1,D25)</f>
        <v>{"oil": {"D0": [0.35, "млн.т"], "Dл": [0.5, "млн.т."], "D1": [0.8, "млн.т."]}}</v>
      </c>
      <c r="F25" t="s">
        <v>260</v>
      </c>
      <c r="G25" s="33" t="s">
        <v>262</v>
      </c>
      <c r="H25" t="str">
        <f t="shared" si="0"/>
        <v>(2025, '2025-01-15', 'Республика Башкортостан', e'Куязинский',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(извл)
D0 - 0.35 млн.т
Dл - 0,5 млн.т. 
D1 - 0.8 млн.т. ', '{"oil": {"D0": [0.35, "млн.т"], "Dл": [0.5, "млн.т."], "D1": [0.8, "млн.т."]}}'),</v>
      </c>
    </row>
    <row r="26" spans="1:8" ht="36.75" thickBot="1" x14ac:dyDescent="0.25">
      <c r="A26" s="6" t="s">
        <v>51</v>
      </c>
      <c r="B26" s="9" t="s">
        <v>59</v>
      </c>
      <c r="C26" s="8" t="s">
        <v>65</v>
      </c>
      <c r="D26" s="17" t="s">
        <v>159</v>
      </c>
      <c r="E26" t="str" cm="1" vm="28">
        <f t="array" ref="E26">_xlfn._xlws.PY(5,1,D26)</f>
        <v>{"oil": {"Dл": [0.2, "млн.т."], "D1": [0.3, "млн. т."]}}</v>
      </c>
      <c r="F26" t="s">
        <v>260</v>
      </c>
      <c r="G26" s="33" t="s">
        <v>262</v>
      </c>
      <c r="H26" t="str">
        <f t="shared" si="0"/>
        <v>(2025, '2025-01-15', 'Республика Башкортостан', e'Табаскинский',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- 0,2 млн.т. 
D1 - 0.3 млн. т. ', '{"oil": {"Dл": [0.2, "млн.т."], "D1": [0.3, "млн. т."]}}'),</v>
      </c>
    </row>
    <row r="27" spans="1:8" ht="36.75" thickBot="1" x14ac:dyDescent="0.25">
      <c r="A27" s="6" t="s">
        <v>52</v>
      </c>
      <c r="B27" s="9" t="s">
        <v>59</v>
      </c>
      <c r="C27" s="8" t="s">
        <v>66</v>
      </c>
      <c r="D27" s="17" t="s">
        <v>160</v>
      </c>
      <c r="E27" t="str" cm="1" vm="29">
        <f t="array" ref="E27">_xlfn._xlws.PY(5,1,D27)</f>
        <v>{"oil": {"Dл": [0.8, "млн.т."], "D1": [0.6, "млн. т."]}}</v>
      </c>
      <c r="F27" t="s">
        <v>260</v>
      </c>
      <c r="G27" s="33" t="s">
        <v>262</v>
      </c>
      <c r="H27" t="str">
        <f t="shared" si="0"/>
        <v>(2025, '2025-01-15', 'Республика Башкортостан', e'Южно-С алаевский',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- 0,8 млн.т.
D1 -0.6 млн. т.', '{"oil": {"Dл": [0.8, "млн.т."], "D1": [0.6, "млн. т."]}}'),</v>
      </c>
    </row>
    <row r="28" spans="1:8" ht="26.25" thickBot="1" x14ac:dyDescent="0.25">
      <c r="A28" s="6" t="s">
        <v>53</v>
      </c>
      <c r="B28" s="7" t="s">
        <v>60</v>
      </c>
      <c r="C28" s="13" t="s">
        <v>67</v>
      </c>
      <c r="D28" s="9" t="s">
        <v>161</v>
      </c>
      <c r="E28" t="str" cm="1" vm="30">
        <f t="array" ref="E28">_xlfn._xlws.PY(5,1,D28)</f>
        <v>{"oil": {"C1": [1.22, "млн.т."]}}</v>
      </c>
      <c r="F28" t="s">
        <v>260</v>
      </c>
      <c r="G28" s="33" t="s">
        <v>262</v>
      </c>
      <c r="H28" t="str">
        <f t="shared" si="0"/>
        <v>(2025, '2025-01-15', 'Республика Ингушетия', e'часть Харбижинского нефтяного месторождения',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
С1 - 1.220 млн.т.', '{"oil": {"C1": [1.22, "млн.т."]}}'),</v>
      </c>
    </row>
    <row r="29" spans="1:8" ht="51.75" thickBot="1" x14ac:dyDescent="0.25">
      <c r="A29" s="6" t="s">
        <v>54</v>
      </c>
      <c r="B29" s="7" t="s">
        <v>61</v>
      </c>
      <c r="C29" s="8" t="s">
        <v>68</v>
      </c>
      <c r="D29" s="9" t="s">
        <v>162</v>
      </c>
      <c r="E29" t="str" cm="1" vm="31">
        <f t="array" ref="E29">_xlfn._xlws.PY(5,1,D29)</f>
        <v>{"gas": {"D1": [22.549, "млрд.мЗ"]}, "cond": {"D1": [2.505, "млн.т."]}}</v>
      </c>
      <c r="F29" t="s">
        <v>260</v>
      </c>
      <c r="G29" s="33" t="s">
        <v>262</v>
      </c>
      <c r="H29" t="str">
        <f t="shared" si="0"/>
        <v>(2025, '2025-01-15', 'Республика Калмыкия', e'Промысловский 2',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e'газ
D1 - 22,549 млрд.мЗ
конденсат
D1 - 2,505 млн.т.', '{"gas": {"D1": [22.549, "млрд.мЗ"]}, "cond": {"D1": [2.505, "млн.т."]}}'),</v>
      </c>
    </row>
    <row r="30" spans="1:8" ht="77.25" thickBot="1" x14ac:dyDescent="0.25">
      <c r="A30" s="6" t="s">
        <v>55</v>
      </c>
      <c r="B30" s="7" t="s">
        <v>61</v>
      </c>
      <c r="C30" s="8" t="s">
        <v>69</v>
      </c>
      <c r="D30" s="9" t="s">
        <v>163</v>
      </c>
      <c r="E30" t="str" cm="1" vm="32">
        <f t="array" ref="E30">_xlfn._xlws.PY(5,1,D30)</f>
        <v>{"gas": {"C1": [0.1, "39 млрд."], "C2": [0.522, "млрд.м3"]}, "cond": {"C1": [0.001, "млн.т."], "C2": [0.006, "млн.т."]}}</v>
      </c>
      <c r="F30" t="s">
        <v>260</v>
      </c>
      <c r="G30" s="33" t="s">
        <v>262</v>
      </c>
      <c r="H30" t="str">
        <f t="shared" si="0"/>
        <v>(2025, '2025-01-15', 'Республика Калмыкия', e'Моктинский',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e'газ
С1 - 0,1 39 млрд.м3
C2 - 0,522 млрд.м3
конденсат
С1 - 0,001 млн.т.
С2 - 0,006 млн.т.', '{"gas": {"C1": [0.1, "39 млрд."], "C2": [0.522, "млрд.м3"]}, "cond": {"C1": [0.001, "млн.т."], "C2": [0.006, "млн.т."]}}'),</v>
      </c>
    </row>
    <row r="31" spans="1:8" ht="90" thickBot="1" x14ac:dyDescent="0.25">
      <c r="A31" s="6" t="s">
        <v>56</v>
      </c>
      <c r="B31" s="7" t="s">
        <v>61</v>
      </c>
      <c r="C31" s="8" t="s">
        <v>70</v>
      </c>
      <c r="D31" s="9" t="s">
        <v>164</v>
      </c>
      <c r="E31" t="str" cm="1" vm="33">
        <f t="array" ref="E31">_xlfn._xlws.PY(5,1,D31)</f>
        <v>{"oil": {"D0": [23.312, "млн.т."]}, "gas": {"C1": [0.122, "млрд.мЗ"], "D0": [0.47, "млрд.мЗ"], "D1": [2.6, "млрд.м3"], "D2": [13.1, "млрд.мЗ"]}}</v>
      </c>
      <c r="F31" t="s">
        <v>260</v>
      </c>
      <c r="G31" s="33" t="s">
        <v>262</v>
      </c>
      <c r="H31" t="str">
        <f t="shared" si="0"/>
        <v>(2025, '2025-01-15', 'Республика Калмыкия', e'Хар-Адрыкский',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D0 - 23,312 млн.т.
газ
С1 - 0,122 млрд.мЗ
D0 - 0,47 млрд.мЗ
D1 - 2,6 млрд.м3
D2 - 13,1 млрд.мЗ', '{"oil": {"D0": [23.312, "млн.т."]}, "gas": {"C1": [0.122, "млрд.мЗ"], "D0": [0.47, "млрд.мЗ"], "D1": [2.6, "млрд.м3"], "D2": [13.1, "млрд.мЗ"]}}'),</v>
      </c>
    </row>
    <row r="32" spans="1:8" ht="51.75" thickBot="1" x14ac:dyDescent="0.25">
      <c r="A32" s="6" t="s">
        <v>57</v>
      </c>
      <c r="B32" s="7" t="s">
        <v>61</v>
      </c>
      <c r="C32" s="8" t="s">
        <v>71</v>
      </c>
      <c r="D32" s="10" t="s">
        <v>165</v>
      </c>
      <c r="E32" t="str" cm="1" vm="34">
        <f t="array" ref="E32">_xlfn._xlws.PY(5,1,D32)</f>
        <v>{"oil": {"Dл": [0.18, "млн.т"]}, "gas": {"Dл": [0.2, "млрд.мЗ"]}}</v>
      </c>
      <c r="F32" t="s">
        <v>260</v>
      </c>
      <c r="G32" s="33" t="s">
        <v>262</v>
      </c>
      <c r="H32" t="str">
        <f t="shared" si="0"/>
        <v>(2025, '2025-01-15', 'Республика Калмыкия', e'Приютненский',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- 0,18 млн.т
газ
Dл - 0,2 млрд.мЗ', '{"oil": {"Dл": [0.18, "млн.т"]}, "gas": {"Dл": [0.2, "млрд.мЗ"]}}'),</v>
      </c>
    </row>
    <row r="33" spans="1:8" ht="51.75" thickBot="1" x14ac:dyDescent="0.25">
      <c r="A33" s="6" t="s">
        <v>58</v>
      </c>
      <c r="B33" s="7" t="s">
        <v>61</v>
      </c>
      <c r="C33" s="8" t="s">
        <v>72</v>
      </c>
      <c r="D33" s="10" t="s">
        <v>166</v>
      </c>
      <c r="E33" t="str" cm="1" vm="35">
        <f t="array" ref="E33">_xlfn._xlws.PY(5,1,D33)</f>
        <v>{"oil": {"Dл": [0.05, "млн. т"]}, "gas": {"Dл": [0.133, "млрд.м3"]}}</v>
      </c>
      <c r="F33" t="s">
        <v>260</v>
      </c>
      <c r="G33" s="33" t="s">
        <v>262</v>
      </c>
      <c r="H33" t="str">
        <f t="shared" si="0"/>
        <v>(2025, '2025-01-15', 'Республика Калмыкия', e'Западно-Утсалинский',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-0,05 млн. т
газ
Dл - 0,133 млрд.м3', '{"oil": {"Dл": [0.05, "млн. т"]}, "gas": {"Dл": [0.133, "млрд.м3"]}}'),</v>
      </c>
    </row>
    <row r="34" spans="1:8" ht="102.75" thickBot="1" x14ac:dyDescent="0.25">
      <c r="A34" s="6" t="s">
        <v>73</v>
      </c>
      <c r="B34" s="9" t="s">
        <v>83</v>
      </c>
      <c r="C34" s="8" t="s">
        <v>84</v>
      </c>
      <c r="D34" s="9" t="s">
        <v>167</v>
      </c>
      <c r="E34" t="str" cm="1" vm="36">
        <f t="array" ref="E34">_xlfn._xlws.PY(5,1,D34)</f>
        <v>{"oil": {"D1": [9.1, "млн. т"], "D2": [0.4, "млн.т"]}, "gas": {"D1": [18.7, "млрд.мЗ"], "D2": [1.2, "млрд.мЗ"]}, "cond": {"D1": [0.5, "млн.т."]}}</v>
      </c>
      <c r="F34" t="s">
        <v>260</v>
      </c>
      <c r="G34" s="33" t="s">
        <v>262</v>
      </c>
      <c r="H34" t="str">
        <f t="shared" si="0"/>
        <v>(2025, '2025-01-15', 'Республика Саха (Якутия)', e'Бюк-Танарский',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D1 - 9,1 млн. т
D2 - 0,4 млн.т
газ
D1 - 18,7 млрд.мЗ
D2 - 1,2 млрд.мЗ
Конденсат
D1 - 0,5 млн.т.', '{"oil": {"D1": [9.1, "млн. т"], "D2": [0.4, "млн.т"]}, "gas": {"D1": [18.7, "млрд.мЗ"], "D2": [1.2, "млрд.мЗ"]}, "cond": {"D1": [0.5, "млн.т."]}}'),</v>
      </c>
    </row>
    <row r="35" spans="1:8" ht="77.25" thickBot="1" x14ac:dyDescent="0.25">
      <c r="A35" s="6" t="s">
        <v>74</v>
      </c>
      <c r="B35" s="9" t="s">
        <v>83</v>
      </c>
      <c r="C35" s="8" t="s">
        <v>85</v>
      </c>
      <c r="D35" s="9" t="s">
        <v>168</v>
      </c>
      <c r="E35" t="str" cm="1" vm="37">
        <f t="array" ref="E35">_xlfn._xlws.PY(5,1,D35)</f>
        <v>{"oil": {"D2": [3.9, "млн.т"]}, "gas": {"D2": [5.8, "млрд.м3"]}, "cond": {"D2": [0.3, "млн.т."]}}</v>
      </c>
      <c r="F35" t="s">
        <v>260</v>
      </c>
      <c r="G35" s="33" t="s">
        <v>262</v>
      </c>
      <c r="H35" t="str">
        <f t="shared" si="0"/>
        <v>(2025, '2025-01-15', 'Республика Саха (Якутия)', e'Приленский',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D2 - 3.9 млн.т
газ
D2 - 5.8 млрд.м3
Конденсат
D2 - 0.3 млн.т.', '{"oil": {"D2": [3.9, "млн.т"]}, "gas": {"D2": [5.8, "млрд.м3"]}, "cond": {"D2": [0.3, "млн.т."]}}'),</v>
      </c>
    </row>
    <row r="36" spans="1:8" ht="102.75" thickBot="1" x14ac:dyDescent="0.25">
      <c r="A36" s="6" t="s">
        <v>75</v>
      </c>
      <c r="B36" s="9" t="s">
        <v>83</v>
      </c>
      <c r="C36" s="8" t="s">
        <v>86</v>
      </c>
      <c r="D36" s="9" t="s">
        <v>169</v>
      </c>
      <c r="E36" t="str" cm="1" vm="38">
        <f t="array" ref="E36">_xlfn._xlws.PY(5,1,D36)</f>
        <v>{"oil": {"D1": [6.0, "млн. т"], "D2": [2.5, "млн.т"]}, "gas": {"D1": [57.4, "млрд.мЗ"], "D2": [24.6, "млрд.мЗ"]}, "cond": {"D1": [3.4, "млн.т."], "D2": [1.4, "млн.т."]}}</v>
      </c>
      <c r="F36" t="s">
        <v>260</v>
      </c>
      <c r="G36" s="33" t="s">
        <v>262</v>
      </c>
      <c r="H36" t="str">
        <f t="shared" si="0"/>
        <v>(2025, '2025-01-15', 'Республика Саха (Якутия)', e'Восточно-Молбинский',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D1 -6 млн. т
D2 -2,5 млн.т
газ
D1 - 57,4 млрд.мЗ
D2 -24,6 млрд.мЗ
Конденсат
D1 -3,4 млн.т.
D2 - 1,4 млн.т.', '{"oil": {"D1": [6.0, "млн. т"], "D2": [2.5, "млн.т"]}, "gas": {"D1": [57.4, "млрд.мЗ"], "D2": [24.6, "млрд.мЗ"]}, "cond": {"D1": [3.4, "млн.т."], "D2": [1.4, "млн.т."]}}'),</v>
      </c>
    </row>
    <row r="37" spans="1:8" ht="51.75" thickBot="1" x14ac:dyDescent="0.25">
      <c r="A37" s="6" t="s">
        <v>76</v>
      </c>
      <c r="B37" s="9" t="s">
        <v>83</v>
      </c>
      <c r="C37" s="8" t="s">
        <v>87</v>
      </c>
      <c r="D37" s="9" t="s">
        <v>170</v>
      </c>
      <c r="E37" t="str" cm="1" vm="39">
        <f t="array" ref="E37">_xlfn._xlws.PY(5,1,D37)</f>
        <v>{"oil": {"Dл": [7.2, "млн. т"]}, "gas": {"Dл": [107.19, "млрд. м3"]}}</v>
      </c>
      <c r="F37" t="s">
        <v>260</v>
      </c>
      <c r="G37" s="33" t="s">
        <v>262</v>
      </c>
      <c r="H37" t="str">
        <f t="shared" si="0"/>
        <v>(2025, '2025-01-15', 'Республика Саха (Якутия)', e'Эсселяхский',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Dл-7, 2 млн. т
газ-
Dл-107, 19 млрд. м3', '{"oil": {"Dл": [7.2, "млн. т"]}, "gas": {"Dл": [107.19, "млрд. м3"]}}'),</v>
      </c>
    </row>
    <row r="38" spans="1:8" ht="77.25" thickBot="1" x14ac:dyDescent="0.25">
      <c r="A38" s="6" t="s">
        <v>77</v>
      </c>
      <c r="B38" s="9" t="s">
        <v>83</v>
      </c>
      <c r="C38" s="8" t="s">
        <v>88</v>
      </c>
      <c r="D38" s="9" t="s">
        <v>171</v>
      </c>
      <c r="E38" t="str" cm="1" vm="40">
        <f t="array" ref="E38">_xlfn._xlws.PY(5,1,D38)</f>
        <v>{"oil": {"D2": [2.9, "млн.т"]}, "gas": {"Dл": [22.4, "млрд"]}, "cond": {"Dл": [0.7, "млн.т."]}}</v>
      </c>
      <c r="F38" t="s">
        <v>260</v>
      </c>
      <c r="G38" s="33" t="s">
        <v>262</v>
      </c>
      <c r="H38" t="str">
        <f t="shared" si="0"/>
        <v>(2025, '2025-01-15', 'Республика Саха (Якутия)', e'Наманинский',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D2 -2,9 млн.т
газ
Dл - 22,4 млрд .м3
Конденсат
Dл -0,7 млн.т.', '{"oil": {"D2": [2.9, "млн.т"]}, "gas": {"Dл": [22.4, "млрд"]}, "cond": {"Dл": [0.7, "млн.т."]}}'),</v>
      </c>
    </row>
    <row r="39" spans="1:8" ht="51.75" thickBot="1" x14ac:dyDescent="0.25">
      <c r="A39" s="6" t="s">
        <v>78</v>
      </c>
      <c r="B39" s="9" t="s">
        <v>83</v>
      </c>
      <c r="C39" s="8" t="s">
        <v>89</v>
      </c>
      <c r="D39" s="9" t="s">
        <v>172</v>
      </c>
      <c r="E39" t="str" cm="1" vm="41">
        <f t="array" ref="E39">_xlfn._xlws.PY(5,1,D39)</f>
        <v>{"oil": {"D2": [0.3, "млн.т"]}, "gas": {"D2": [14.7, "млрд.мЗ"]}}</v>
      </c>
      <c r="F39" t="s">
        <v>260</v>
      </c>
      <c r="G39" s="33" t="s">
        <v>262</v>
      </c>
      <c r="H39" t="str">
        <f t="shared" si="0"/>
        <v>(2025, '2025-01-15', 'Республика Саха (Якутия)', e'Конончанский',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D2 -0.3 млн.т
газ
D2 -14.7 млрд.мЗ', '{"oil": {"D2": [0.3, "млн.т"]}, "gas": {"D2": [14.7, "млрд.мЗ"]}}'),</v>
      </c>
    </row>
    <row r="40" spans="1:8" ht="51.75" thickBot="1" x14ac:dyDescent="0.25">
      <c r="A40" s="6" t="s">
        <v>79</v>
      </c>
      <c r="B40" s="9" t="s">
        <v>83</v>
      </c>
      <c r="C40" s="18" t="s">
        <v>173</v>
      </c>
      <c r="D40" s="9" t="s">
        <v>174</v>
      </c>
      <c r="E40" t="str" cm="1" vm="42">
        <f t="array" ref="E40">_xlfn._xlws.PY(5,1,D40)</f>
        <v>{"oil": {"D2": [0.3, "млн.т"]}, "gas": {"D2": [13.8, "млрд.мЗ"]}}</v>
      </c>
      <c r="F40" t="s">
        <v>260</v>
      </c>
      <c r="G40" s="33" t="s">
        <v>262</v>
      </c>
      <c r="H40" t="str">
        <f t="shared" si="0"/>
        <v>(2025, '2025-01-15', 'Республика Саха (Якутия)', e'Сpeднемархинский',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D2 -0.3 млн.т
газ
D2 -13.8 млрд.мЗ', '{"oil": {"D2": [0.3, "млн.т"]}, "gas": {"D2": [13.8, "млрд.мЗ"]}}'),</v>
      </c>
    </row>
    <row r="41" spans="1:8" ht="39" thickBot="1" x14ac:dyDescent="0.25">
      <c r="A41" s="6" t="s">
        <v>80</v>
      </c>
      <c r="B41" s="9" t="s">
        <v>83</v>
      </c>
      <c r="C41" s="8" t="s">
        <v>90</v>
      </c>
      <c r="D41" s="10" t="s">
        <v>175</v>
      </c>
      <c r="E41" t="str" cm="1" vm="43">
        <f t="array" ref="E41">_xlfn._xlws.PY(5,1,D41)</f>
        <v>{"gas": {"C1": [0.259, "млрд.мЗ"], "C2": [3.781, "млрд.м3"]}}</v>
      </c>
      <c r="F41" t="s">
        <v>260</v>
      </c>
      <c r="G41" s="33" t="s">
        <v>262</v>
      </c>
      <c r="H41" t="str">
        <f t="shared" si="0"/>
        <v>(2025, '2025-01-15', 'Республика Саха (Якутия)', e'Нижнетюкянское',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e'газ
C1-0,259 млрд.мЗ
C2- 3,781 млрд.м3', '{"gas": {"C1": [0.259, "млрд.мЗ"], "C2": [3.781, "млрд.м3"]}}'),</v>
      </c>
    </row>
    <row r="42" spans="1:8" ht="51.75" thickBot="1" x14ac:dyDescent="0.25">
      <c r="A42" s="6" t="s">
        <v>81</v>
      </c>
      <c r="B42" s="9" t="s">
        <v>83</v>
      </c>
      <c r="C42" s="18" t="s">
        <v>176</v>
      </c>
      <c r="D42" s="9" t="s">
        <v>177</v>
      </c>
      <c r="E42" t="str" cm="1" vm="44">
        <f t="array" ref="E42">_xlfn._xlws.PY(5,1,D42)</f>
        <v>{"oil": {"D2": [0.2, "млн.т"]}, "gas": {"D2": [18.1, "млрд.м3"]}}</v>
      </c>
      <c r="F42" t="s">
        <v>260</v>
      </c>
      <c r="G42" s="33" t="s">
        <v>262</v>
      </c>
      <c r="H42" t="str">
        <f t="shared" si="0"/>
        <v>(2025, '2025-01-15', 'Республика Саха (Якутия)', e'Накынский',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D2 -0.2 млн.т
газ
D2 -18.1 млрд.м3', '{"oil": {"D2": [0.2, "млн.т"]}, "gas": {"D2": [18.1, "млрд.м3"]}}'),</v>
      </c>
    </row>
    <row r="43" spans="1:8" ht="115.5" thickBot="1" x14ac:dyDescent="0.25">
      <c r="A43" s="6" t="s">
        <v>82</v>
      </c>
      <c r="B43" s="9" t="s">
        <v>83</v>
      </c>
      <c r="C43" s="8" t="s">
        <v>91</v>
      </c>
      <c r="D43" s="14" t="s">
        <v>178</v>
      </c>
      <c r="E43" t="str" cm="1" vm="45">
        <f t="array" ref="E43">_xlfn._xlws.PY(5,1,D43)</f>
        <v>{"oil": {"D1": [5.9, "млн. т"], "D2": [0.7, "млн.т"]}, "gas": {"D1": [59.3, "млрд.мЗ"], "D2": [13.0, "млрд.мЗ"]}, "cond": {"D1": [3.2, "млн.т."], "D2": [0.8, "млн.т."]}}</v>
      </c>
      <c r="F43" t="s">
        <v>260</v>
      </c>
      <c r="G43" s="33" t="s">
        <v>262</v>
      </c>
      <c r="H43" t="str">
        <f t="shared" si="0"/>
        <v>(2025, '2025-01-15', 'Республика Саха (Якутия)', e'Восточно-Ленский',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e'Нефть,
D1 -5,9 млн. т
D2 -0,7млн.т
газ.
D1 -59,3 млрд.мЗ
D2 -13,0 млрд.мЗ
Конденсат
D1 -3,2 млн.т.
D2 -0,8 млн.т.', '{"oil": {"D1": [5.9, "млн. т"], "D2": [0.7, "млн.т"]}, "gas": {"D1": [59.3, "млрд.мЗ"], "D2": [13.0, "млрд.мЗ"]}, "cond": {"D1": [3.2, "млн.т."], "D2": [0.8, "млн.т."]}}'),</v>
      </c>
    </row>
    <row r="44" spans="1:8" ht="26.25" thickBot="1" x14ac:dyDescent="0.25">
      <c r="A44" s="6" t="s">
        <v>92</v>
      </c>
      <c r="B44" s="9" t="s">
        <v>83</v>
      </c>
      <c r="C44" s="19" t="s">
        <v>179</v>
      </c>
      <c r="D44" s="9" t="s">
        <v>180</v>
      </c>
      <c r="E44" t="str" cm="1" vm="46">
        <f t="array" ref="E44">_xlfn._xlws.PY(5,1,D44)</f>
        <v>{"gas": {"C1": [0.762, "млрд.мЗ"]}}</v>
      </c>
      <c r="F44" t="s">
        <v>260</v>
      </c>
      <c r="G44" s="33" t="s">
        <v>262</v>
      </c>
      <c r="H44" t="str">
        <f t="shared" si="0"/>
        <v>(2025, '2025-01-15', 'Республика Саха (Якутия)', e'Усть-Вилюйский',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e'газ
С1-0,762 млрд.мЗ', '{"gas": {"C1": [0.762, "млрд.мЗ"]}}'),</v>
      </c>
    </row>
    <row r="45" spans="1:8" ht="51.75" thickBot="1" x14ac:dyDescent="0.25">
      <c r="A45" s="6" t="s">
        <v>93</v>
      </c>
      <c r="B45" s="7" t="s">
        <v>104</v>
      </c>
      <c r="C45" s="8" t="s">
        <v>108</v>
      </c>
      <c r="D45" s="9" t="s">
        <v>181</v>
      </c>
      <c r="E45" t="str" cm="1" vm="47">
        <f t="array" ref="E45">_xlfn._xlws.PY(5,1,D45)</f>
        <v>{"oil": {"B1": [0.087, "млн. т"], "B2": [0.024, "млн. т"], "D1": [0.5, "млн. т"]}}</v>
      </c>
      <c r="F45" t="s">
        <v>260</v>
      </c>
      <c r="G45" s="33" t="s">
        <v>262</v>
      </c>
      <c r="H45" t="str">
        <f t="shared" si="0"/>
        <v>(2025, '2025-01-15', 'Удмуртская Республика', e'Ончугинский',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
В1 -0.087 млн. т
В2 -0.024 млн. т
D1 - 0,5 млн. т', '{"oil": {"B1": [0.087, "млн. т"], "B2": [0.024, "млн. т"], "D1": [0.5, "млн. т"]}}'),</v>
      </c>
    </row>
    <row r="46" spans="1:8" ht="39" thickBot="1" x14ac:dyDescent="0.25">
      <c r="A46" s="6" t="s">
        <v>94</v>
      </c>
      <c r="B46" s="7" t="s">
        <v>104</v>
      </c>
      <c r="C46" s="8" t="s">
        <v>109</v>
      </c>
      <c r="D46" s="9" t="s">
        <v>182</v>
      </c>
      <c r="E46" t="str" cm="1" vm="48">
        <f t="array" ref="E46">_xlfn._xlws.PY(5,1,D46)</f>
        <v>{"oil": {"B1": [0.058, "млн.т"], "D1": [3.15, "млн. т"]}}</v>
      </c>
      <c r="F46" t="s">
        <v>260</v>
      </c>
      <c r="G46" s="33" t="s">
        <v>262</v>
      </c>
      <c r="H46" t="str">
        <f t="shared" si="0"/>
        <v>(2025, '2025-01-15', 'Удмуртская Республика', e'Чекеровский',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
B1 -0.058 млн.т
D1 - 3,15 млн. т', '{"oil": {"B1": [0.058, "млн.т"], "D1": [3.15, "млн. т"]}}'),</v>
      </c>
    </row>
    <row r="47" spans="1:8" ht="64.5" thickBot="1" x14ac:dyDescent="0.25">
      <c r="A47" s="6" t="s">
        <v>95</v>
      </c>
      <c r="B47" s="6" t="s">
        <v>105</v>
      </c>
      <c r="C47" s="8" t="s">
        <v>110</v>
      </c>
      <c r="D47" s="9" t="s">
        <v>183</v>
      </c>
      <c r="E47" t="str" cm="1" vm="49">
        <f t="array" ref="E47">_xlfn._xlws.PY(5,1,D47)</f>
        <v>{"oil": {"Dл": [2.0, "млн.т."], "D1": [1.25, "млн.т"]}, "gas": {"D1": [0.1, "млрд.мЗ"]}}</v>
      </c>
      <c r="F47" t="s">
        <v>260</v>
      </c>
      <c r="G47" s="33" t="s">
        <v>262</v>
      </c>
      <c r="H47" t="str">
        <f t="shared" si="0"/>
        <v>(2025, '2025-01-15', 'Самарская область', e'Восточно-Каревский',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- 2.0 млн.т.,
D1 -1.25 млн.т,
газ
D1 - 0.1 млрд.мЗ', '{"oil": {"Dл": [2.0, "млн.т."], "D1": [1.25, "млн.т"]}, "gas": {"D1": [0.1, "млрд.мЗ"]}}'),</v>
      </c>
    </row>
    <row r="48" spans="1:8" ht="39" thickBot="1" x14ac:dyDescent="0.25">
      <c r="A48" s="6" t="s">
        <v>96</v>
      </c>
      <c r="B48" s="6" t="s">
        <v>105</v>
      </c>
      <c r="C48" s="8" t="s">
        <v>111</v>
      </c>
      <c r="D48" s="10" t="s">
        <v>184</v>
      </c>
      <c r="E48" t="str" cm="1" vm="50">
        <f t="array" ref="E48">_xlfn._xlws.PY(5,1,D48)</f>
        <v>{"oil": {"B1": [0.384, "млн. т"], "B2": [0.132, "млн.т"]}}</v>
      </c>
      <c r="F48" t="s">
        <v>260</v>
      </c>
      <c r="G48" s="33" t="s">
        <v>262</v>
      </c>
      <c r="H48" t="str">
        <f t="shared" si="0"/>
        <v>(2025, '2025-01-15', 'Самарская область', e'Курский',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
B1 -0.384 млн. т
B2 -0.132 млн.т', '{"oil": {"B1": [0.384, "млн. т"], "B2": [0.132, "млн.т"]}}'),</v>
      </c>
    </row>
    <row r="49" spans="1:8" ht="26.25" thickBot="1" x14ac:dyDescent="0.25">
      <c r="A49" s="6" t="s">
        <v>97</v>
      </c>
      <c r="B49" s="6" t="s">
        <v>105</v>
      </c>
      <c r="C49" s="8" t="s">
        <v>112</v>
      </c>
      <c r="D49" s="9" t="s">
        <v>185</v>
      </c>
      <c r="E49" t="str" cm="1" vm="51">
        <f t="array" ref="E49">_xlfn._xlws.PY(5,1,D49)</f>
        <v>{"oil": {"B1": [0.253, "млн. Т"]}}</v>
      </c>
      <c r="F49" t="s">
        <v>260</v>
      </c>
      <c r="G49" s="33" t="s">
        <v>262</v>
      </c>
      <c r="H49" t="str">
        <f t="shared" si="0"/>
        <v>(2025, '2025-01-15', 'Самарская область', e'Томыловский',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
B1 - 0.253 млн. Т', '{"oil": {"B1": [0.253, "млн. Т"]}}'),</v>
      </c>
    </row>
    <row r="50" spans="1:8" ht="51.75" thickBot="1" x14ac:dyDescent="0.25">
      <c r="A50" s="6" t="s">
        <v>98</v>
      </c>
      <c r="B50" s="6" t="s">
        <v>106</v>
      </c>
      <c r="C50" s="8" t="s">
        <v>113</v>
      </c>
      <c r="D50" s="9" t="s">
        <v>186</v>
      </c>
      <c r="E50" t="str" cm="1" vm="52">
        <f t="array" ref="E50">_xlfn._xlws.PY(5,1,D50)</f>
        <v>{"oil": {"B2": [0.043, "млн. т"]}, "gas": {"B2": [0.042, "млрд.мЗ"]}}</v>
      </c>
      <c r="F50" t="s">
        <v>260</v>
      </c>
      <c r="G50" s="33" t="s">
        <v>262</v>
      </c>
      <c r="H50" t="str">
        <f t="shared" si="0"/>
        <v>(2025, '2025-01-15', 'Саратовская область', e'Юрьевский',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
B2 -0.043 млн. т
газ
B2 - 0.042 млрд.мЗ', '{"oil": {"B2": [0.043, "млн. т"]}, "gas": {"B2": [0.042, "млрд.мЗ"]}}'),</v>
      </c>
    </row>
    <row r="51" spans="1:8" ht="39" thickBot="1" x14ac:dyDescent="0.25">
      <c r="A51" s="6" t="s">
        <v>99</v>
      </c>
      <c r="B51" s="6" t="s">
        <v>107</v>
      </c>
      <c r="C51" s="8" t="s">
        <v>114</v>
      </c>
      <c r="D51" s="9" t="s">
        <v>187</v>
      </c>
      <c r="E51" t="str" cm="1" vm="53">
        <f t="array" ref="E51">_xlfn._xlws.PY(5,1,D51)</f>
        <v>{"oil": {"C1": [0.579, "млн.т."], "D0": [1.815, "млн.т."]}}</v>
      </c>
      <c r="F51" t="s">
        <v>260</v>
      </c>
      <c r="G51" s="33" t="s">
        <v>262</v>
      </c>
      <c r="H51" t="str">
        <f t="shared" si="0"/>
        <v>(2025, '2025-01-15', 'Ставропольский край', e'Моздокский',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
C1-0.579 млн.т.
D0-1.815 млн.т.', '{"oil": {"C1": [0.579, "млн.т."], "D0": [1.815, "млн.т."]}}'),</v>
      </c>
    </row>
    <row r="52" spans="1:8" ht="26.25" thickBot="1" x14ac:dyDescent="0.25">
      <c r="A52" s="6" t="s">
        <v>100</v>
      </c>
      <c r="B52" s="6" t="s">
        <v>107</v>
      </c>
      <c r="C52" s="8" t="s">
        <v>115</v>
      </c>
      <c r="D52" s="9" t="s">
        <v>188</v>
      </c>
      <c r="E52" t="str" cm="1" vm="54">
        <f t="array" ref="E52">_xlfn._xlws.PY(5,1,D52)</f>
        <v>{"oil": {"D1": [1.064, "млн т"]}}</v>
      </c>
      <c r="F52" t="s">
        <v>260</v>
      </c>
      <c r="G52" s="33" t="s">
        <v>262</v>
      </c>
      <c r="H52" t="str">
        <f t="shared" si="0"/>
        <v>(2025, '2025-01-15', 'Ставропольский край', e'Брусиловский',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D1 - 1.064 млн т', '{"oil": {"D1": [1.064, "млн т"]}}'),</v>
      </c>
    </row>
    <row r="53" spans="1:8" ht="77.25" thickBot="1" x14ac:dyDescent="0.25">
      <c r="A53" s="6" t="s">
        <v>101</v>
      </c>
      <c r="B53" s="31" t="s">
        <v>258</v>
      </c>
      <c r="C53" s="13" t="s">
        <v>116</v>
      </c>
      <c r="D53" s="9" t="s">
        <v>189</v>
      </c>
      <c r="E53" t="str" cm="1" vm="55">
        <f t="array" ref="E53">_xlfn._xlws.PY(5,1,D53)</f>
        <v>{"oil": {"C1": [9.389, "млн. т."], "Dл": [0.361, "млн. т."], "D1": [8.8, "млн. т."], "D2": [0.5, "млн. т."]}}</v>
      </c>
      <c r="F53" t="s">
        <v>260</v>
      </c>
      <c r="G53" s="33" t="s">
        <v>262</v>
      </c>
      <c r="H53" t="str">
        <f t="shared" si="0"/>
        <v>(2025, '2025-01-15', 'Ханты-Мансийский автономный округ - Югра', e'Восточно-Камский месторождение: Восточно-Камское (Ю2-3), Янлотское (Ю2-3, Ю4) Ханты-Мансийский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(извл.):
C1 -0,531 млн. т.
C1 -9,389 млн. т.
Dл -0,361 млн. т.
D1 - 8,8 млн. т.
D2 - 0,5 млн. т.', '{"oil": {"C1": [9.389, "млн. т."], "Dл": [0.361, "млн. т."], "D1": [8.8, "млн. т."], "D2": [0.5, "млн. т."]}}'),</v>
      </c>
    </row>
    <row r="54" spans="1:8" ht="77.25" thickBot="1" x14ac:dyDescent="0.25">
      <c r="A54" s="6" t="s">
        <v>102</v>
      </c>
      <c r="B54" s="31" t="s">
        <v>258</v>
      </c>
      <c r="C54" s="13" t="s">
        <v>117</v>
      </c>
      <c r="D54" s="14" t="s">
        <v>190</v>
      </c>
      <c r="E54" t="str" cm="1" vm="56">
        <f t="array" ref="E54">_xlfn._xlws.PY(5,1,D54)</f>
        <v>{"oil": {"D1": [7.4, "млн т."], "D2": [0.5, "млн т."]}, "gas": {"D1": [0.2, "млрд м3"], "D2": [0.5, "млрд м3"]}}</v>
      </c>
      <c r="F54" t="s">
        <v>260</v>
      </c>
      <c r="G54" s="33" t="s">
        <v>262</v>
      </c>
      <c r="H54" t="str">
        <f t="shared" si="0"/>
        <v>(2025, '2025-01-15', 'Ханты-Мансийский автономный округ - Югра', e'Северо-Октябрьский Октябрьский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e'нефть:
D1 - 7,4 млн т.
D2 - 0,5 млн т.
газ:
D1 - 0,2 млрд м3
D2 - 0,5 млрд м3', '{"oil": {"D1": [7.4, "млн т."], "D2": [0.5, "млн т."]}, "gas": {"D1": [0.2, "млрд м3"], "D2": [0.5, "млрд м3"]}}'),</v>
      </c>
    </row>
    <row r="55" spans="1:8" ht="90" thickBot="1" x14ac:dyDescent="0.25">
      <c r="A55" s="6" t="s">
        <v>103</v>
      </c>
      <c r="B55" s="31" t="s">
        <v>258</v>
      </c>
      <c r="C55" s="13" t="s">
        <v>118</v>
      </c>
      <c r="D55" s="9" t="s">
        <v>191</v>
      </c>
      <c r="E55" t="str" cm="1" vm="57">
        <f t="array" ref="E55">_xlfn._xlws.PY(5,1,D55)</f>
        <v>{"oil": {"D0": [0.573, "млн.т."], "Dл": [0.695, "млн.т."], "D1": [7.3, "млн.т."], "D2": [5.0, "млн.т."]}, "gas": {"D2": [5.0, "млрд. м3."]}}</v>
      </c>
      <c r="F55" t="s">
        <v>260</v>
      </c>
      <c r="G55" s="33" t="s">
        <v>262</v>
      </c>
      <c r="H55" t="str">
        <f t="shared" si="0"/>
        <v>(2025, '2025-01-15', 'Ханты-Мансийский автономный округ - Югра', e'Помутский 1 подготовленные структуры: Западно-Помутская 1 (Ю0-ЮК1) Белоярский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(извл.):
D0-0,573 млн.т.
Dл - 0,695 млн.т.
D1 - 7,3 млн.т.
D2 - 5,0 млн.т.
газ
D2 - 5,0 млрд. м3.', '{"oil": {"D0": [0.573, "млн.т."], "Dл": [0.695, "млн.т."], "D1": [7.3, "млн.т."], "D2": [5.0, "млн.т."]}, "gas": {"D2": [5.0, "млрд. м3."]}}'),</v>
      </c>
    </row>
    <row r="56" spans="1:8" ht="90" thickBot="1" x14ac:dyDescent="0.25">
      <c r="A56" s="6" t="s">
        <v>119</v>
      </c>
      <c r="B56" s="31" t="s">
        <v>258</v>
      </c>
      <c r="C56" s="13" t="s">
        <v>126</v>
      </c>
      <c r="D56" s="15" t="s">
        <v>192</v>
      </c>
      <c r="E56" t="str" cm="1" vm="58">
        <f t="array" ref="E56">_xlfn._xlws.PY(5,1,D56)</f>
        <v>{"oil": {"D0": [2.338, "млн. т."], "Dл": [0.538, "млн.т."], "D1": [1.4, "млн.т."], "D2": [3.6, "млн.т."]}, "gas": {"D2": [5.0, "млрд. м3."]}}</v>
      </c>
      <c r="F56" t="s">
        <v>260</v>
      </c>
      <c r="G56" s="33" t="s">
        <v>262</v>
      </c>
      <c r="H56" t="str">
        <f t="shared" si="0"/>
        <v>(2025, '2025-01-15', 'Ханты-Мансийский автономный округ - Югра', e'Помутский 2 подготовленные структуры: Нурумъюганская (АС3) Белоярский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(извл.):
D0 -2,338 млн. т.
Dл - 0,538 млн.т.
D1 - 1,4 млн.т.
D2 - 3,6 млн.т.
газ
D2 - 5,0 млрд. м3.', '{"oil": {"D0": [2.338, "млн. т."], "Dл": [0.538, "млн.т."], "D1": [1.4, "млн.т."], "D2": [3.6, "млн.т."]}, "gas": {"D2": [5.0, "млрд. м3."]}}'),</v>
      </c>
    </row>
    <row r="57" spans="1:8" ht="102.75" thickBot="1" x14ac:dyDescent="0.25">
      <c r="A57" s="6" t="s">
        <v>120</v>
      </c>
      <c r="B57" s="31" t="s">
        <v>258</v>
      </c>
      <c r="C57" s="13" t="s">
        <v>127</v>
      </c>
      <c r="D57" s="9" t="s">
        <v>193</v>
      </c>
      <c r="E57" t="str" cm="1" vm="59">
        <f t="array" ref="E57">_xlfn._xlws.PY(5,1,D57)</f>
        <v>{"oil": {"D0": [2.003, "млн т."], "Dл": [1.62, "млн т."], "D1": [8.0, "млн.т."], "D2": [0.3, "млн.т."]}, "gas": {"D1": [0.3, "млрд м3."], "D2": [0.7, "млрд м3."]}}</v>
      </c>
      <c r="F57" t="s">
        <v>260</v>
      </c>
      <c r="G57" s="33" t="s">
        <v>262</v>
      </c>
      <c r="H57" t="str">
        <f t="shared" si="0"/>
        <v>(2025, '2025-01-15', 'Ханты-Мансийский автономный округ - Югра', e'Радомский подготовленные структуры: Радомская 1 (ВК, АС1-3, Ю2-4) Октябрьский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(извл.):
D0 -2,003 млн т.
Dл - 1,620 млн т.**
D1 - 8,0 млн.т.
D2 - 0,3 млн.т.
газ (извл.):
D1 -0,3 млрд м3.
D2-0,7 млрд м3.', '{"oil": {"D0": [2.003, "млн т."], "Dл": [1.62, "млн т."], "D1": [8.0, "млн.т."], "D2": [0.3, "млн.т."]}, "gas": {"D1": [0.3, "млрд м3."], "D2": [0.7, "млрд м3."]}}'),</v>
      </c>
    </row>
    <row r="58" spans="1:8" ht="64.5" thickBot="1" x14ac:dyDescent="0.25">
      <c r="A58" s="6" t="s">
        <v>121</v>
      </c>
      <c r="B58" s="31" t="s">
        <v>258</v>
      </c>
      <c r="C58" s="13" t="s">
        <v>128</v>
      </c>
      <c r="D58" s="9" t="s">
        <v>194</v>
      </c>
      <c r="E58" t="str" cm="1" vm="60">
        <f t="array" ref="E58">_xlfn._xlws.PY(5,1,D58)</f>
        <v>{"oil": {"D1": [1.5, "млн.т."], "D2": [4.0, "млн.т."]}, "gas": {"D2": [3.6, "млрд. м3."]}}</v>
      </c>
      <c r="F58" t="s">
        <v>260</v>
      </c>
      <c r="G58" s="33" t="s">
        <v>262</v>
      </c>
      <c r="H58" t="str">
        <f t="shared" si="0"/>
        <v>(2025, '2025-01-15', 'Ханты-Мансийский автономный округ - Югра', e'Помутский 3 Белоярский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D1 - 1,5 млн.т.
D2 - 4,0 млн.т.
газ
D2 - 3,6 млрд. м3.', '{"oil": {"D1": [1.5, "млн.т."], "D2": [4.0, "млн.т."]}, "gas": {"D2": [3.6, "млрд. м3."]}}'),</v>
      </c>
    </row>
    <row r="59" spans="1:8" ht="77.25" thickBot="1" x14ac:dyDescent="0.25">
      <c r="A59" s="6" t="s">
        <v>78</v>
      </c>
      <c r="B59" s="31" t="s">
        <v>258</v>
      </c>
      <c r="C59" s="8" t="s">
        <v>129</v>
      </c>
      <c r="D59" s="9" t="s">
        <v>195</v>
      </c>
      <c r="E59" t="str" cm="1" vm="61">
        <f t="array" ref="E59">_xlfn._xlws.PY(5,1,D59)</f>
        <v>{"oil": {"D1": [5.8, "млн"], "D2": [0.3, "млн"]}, "gas": {"D1": [0.2, "млрд"], "D2": [0.4, "млрд"]}}</v>
      </c>
      <c r="F59" t="s">
        <v>260</v>
      </c>
      <c r="G59" s="33" t="s">
        <v>262</v>
      </c>
      <c r="H59" t="str">
        <f t="shared" si="0"/>
        <v>(2025, '2025-01-15', 'Ханты-Мансийский автономный округ - Югра', e'Сергинский 9',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D1 - 5,8 млн,т.
D2 - 0,3 млн,т.
газ
D1 -0,2 млрд,м3
D2 - 0,4 млрд,м3', '{"oil": {"D1": [5.8, "млн"], "D2": [0.3, "млн"]}, "gas": {"D1": [0.2, "млрд"], "D2": [0.4, "млрд"]}}'),</v>
      </c>
    </row>
    <row r="60" spans="1:8" ht="64.5" thickBot="1" x14ac:dyDescent="0.25">
      <c r="A60" s="6" t="s">
        <v>122</v>
      </c>
      <c r="B60" s="31" t="s">
        <v>258</v>
      </c>
      <c r="C60" s="8" t="s">
        <v>130</v>
      </c>
      <c r="D60" s="9" t="s">
        <v>196</v>
      </c>
      <c r="E60" t="str" cm="1" vm="62">
        <f t="array" ref="E60">_xlfn._xlws.PY(5,1,D60)</f>
        <v>{"oil": {"D1": [2.0, "млн"], "D2": [5.0, "млн"]}, "gas": {"D2": [4.5, "млрд.м3"]}}</v>
      </c>
      <c r="F60" t="s">
        <v>260</v>
      </c>
      <c r="G60" s="33" t="s">
        <v>262</v>
      </c>
      <c r="H60" t="str">
        <f t="shared" si="0"/>
        <v>(2025, '2025-01-15', 'Ханты-Мансийский автономный округ - Югра', e'Юильский 5',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D1 - 2,0 млн,т.
D2 - 5,0 млн,т.
газ
D2 -4,5 млрд.м3', '{"oil": {"D1": [2.0, "млн"], "D2": [5.0, "млн"]}, "gas": {"D2": [4.5, "млрд.м3"]}}'),</v>
      </c>
    </row>
    <row r="61" spans="1:8" ht="102.75" thickBot="1" x14ac:dyDescent="0.25">
      <c r="A61" s="11" t="s">
        <v>123</v>
      </c>
      <c r="B61" s="31" t="s">
        <v>258</v>
      </c>
      <c r="C61" s="13" t="s">
        <v>131</v>
      </c>
      <c r="D61" s="9" t="s">
        <v>197</v>
      </c>
      <c r="E61" t="str" cm="1" vm="63">
        <f t="array" ref="E61">_xlfn._xlws.PY(5,1,D61)</f>
        <v>{"oil": {"A": [0.056, "млн.т"], "B1": [0.257, "млн.т"], "D0": [0.096, "млн.т"]}, "gas": {"A": [0.004, "млрд.м3"], "B1": [0.019, "млрд.мз"], "D0": [0.007, "млрд.мЗ"]}}</v>
      </c>
      <c r="F61" t="s">
        <v>260</v>
      </c>
      <c r="G61" s="33" t="s">
        <v>262</v>
      </c>
      <c r="H61" t="str">
        <f t="shared" si="0"/>
        <v>(2025, '2025-01-15', 'Ханты-Мансийский автономный округ - Югра', e'Тарховский Нижневартовский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(извл.):
А -0,056 млн.т
В1 -0,257 млн.т
D0 -0,096 млн.т
газ
А - 0,004 млрд.м3
В1 - 0,019 млрд.мз
D0 - 0,007 млрд.мЗ', '{"oil": {"A": [0.056, "млн.т"], "B1": [0.257, "млн.т"], "D0": [0.096, "млн.т"]}, "gas": {"A": [0.004, "млрд.м3"], "B1": [0.019, "млрд.мз"], "D0": [0.007, "млрд.мЗ"]}}'),</v>
      </c>
    </row>
    <row r="62" spans="1:8" ht="51.75" thickBot="1" x14ac:dyDescent="0.25">
      <c r="A62" s="6" t="s">
        <v>124</v>
      </c>
      <c r="B62" s="31" t="s">
        <v>258</v>
      </c>
      <c r="C62" s="20" t="s">
        <v>198</v>
      </c>
      <c r="D62" s="9" t="s">
        <v>199</v>
      </c>
      <c r="E62" t="str" cm="1" vm="64">
        <f t="array" ref="E62">_xlfn._xlws.PY(5,1,D62)</f>
        <v>{"oil": {"C1": [9.389, "млн. т."], "D0": [0.919, "млн. т."]}}</v>
      </c>
      <c r="F62" t="s">
        <v>260</v>
      </c>
      <c r="G62" s="33" t="s">
        <v>262</v>
      </c>
      <c r="H62" t="str">
        <f t="shared" si="0"/>
        <v>(2025, '2025-01-15', 'Ханты-Мансийский автономный округ - Югра', e'Восточно-Толумский Кондинский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(извл.):
C1 - 0,531 млн. т.
C1 - 9,389 млн. т.
D0 -0,919 млн. т.', '{"oil": {"C1": [9.389, "млн. т."], "D0": [0.919, "млн. т."]}}'),</v>
      </c>
    </row>
    <row r="63" spans="1:8" ht="77.25" thickBot="1" x14ac:dyDescent="0.25">
      <c r="A63" s="6" t="s">
        <v>125</v>
      </c>
      <c r="B63" s="31" t="s">
        <v>258</v>
      </c>
      <c r="C63" s="8" t="s">
        <v>132</v>
      </c>
      <c r="D63" s="9" t="s">
        <v>200</v>
      </c>
      <c r="E63" t="str" cm="1" vm="65">
        <f t="array" ref="E63">_xlfn._xlws.PY(5,1,D63)</f>
        <v>{"oil": {"D0": [1.117, "млн.т."], "Dл": [3.976, "млн.т."], "D1": [0.3, "млн.т."]}, "gas": {"D1": [1.0, "млрд.мЗ"]}}</v>
      </c>
      <c r="F63" t="s">
        <v>260</v>
      </c>
      <c r="G63" s="33" t="s">
        <v>262</v>
      </c>
      <c r="H63" t="str">
        <f t="shared" si="0"/>
        <v>(2025, '2025-01-15', 'Ханты-Мансийский автономный округ - Югра', e'Западно-Нятлонгский',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(извл.)
D0 -1,117 млн.т.
Dл - 3,976 млн.т.
D1 -0,3 млн.т.
газ
D1 -1,0 млрд.мЗ', '{"oil": {"D0": [1.117, "млн.т."], "Dл": [3.976, "млн.т."], "D1": [0.3, "млн.т."]}, "gas": {"D1": [1.0, "млрд.мЗ"]}}'),</v>
      </c>
    </row>
    <row r="64" spans="1:8" ht="77.25" thickBot="1" x14ac:dyDescent="0.25">
      <c r="A64" s="6" t="s">
        <v>133</v>
      </c>
      <c r="B64" s="31" t="s">
        <v>258</v>
      </c>
      <c r="C64" s="13" t="s">
        <v>141</v>
      </c>
      <c r="D64" s="15" t="s">
        <v>201</v>
      </c>
      <c r="E64" t="str" cm="1" vm="66">
        <f t="array" ref="E64">_xlfn._xlws.PY(5,1,D64)</f>
        <v>{"oil": {"D1": [4.4, "млн"], "D2": [0.2, "млн"]}, "gas": {"D1": [0.2, "млрд"], "D2": [0.3, "млрд"]}}</v>
      </c>
      <c r="F64" t="s">
        <v>260</v>
      </c>
      <c r="G64" s="33" t="s">
        <v>262</v>
      </c>
      <c r="H64" t="str">
        <f t="shared" si="0"/>
        <v>(2025, '2025-01-15', 'Ханты-Мансийский автономный округ - Югра', e'Сергинский 26 Белоярский и Октябрьский районы',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D1 -4,4 млн,т.
D2 - 0,2 млн,т.
газ
D1 -0,2 млрд,м3
D2 -0,3 млрд,м3', '{"oil": {"D1": [4.4, "млн"], "D2": [0.2, "млн"]}, "gas": {"D1": [0.2, "млрд"], "D2": [0.3, "млрд"]}}'),</v>
      </c>
    </row>
    <row r="65" spans="1:8" ht="77.25" thickBot="1" x14ac:dyDescent="0.25">
      <c r="A65" s="6" t="s">
        <v>134</v>
      </c>
      <c r="B65" s="31" t="s">
        <v>258</v>
      </c>
      <c r="C65" s="13" t="s">
        <v>142</v>
      </c>
      <c r="D65" s="9" t="s">
        <v>202</v>
      </c>
      <c r="E65" t="str" cm="1" vm="67">
        <f t="array" ref="E65">_xlfn._xlws.PY(5,1,D65)</f>
        <v>{"oil": {"D1": [5.6, "млн"], "D2": [0.3, "млн"]}, "gas": {"D1": [0.2, "млрд"], "D2": [0.4, "млрд"]}}</v>
      </c>
      <c r="F65" t="s">
        <v>260</v>
      </c>
      <c r="G65" s="33" t="s">
        <v>262</v>
      </c>
      <c r="H65" t="str">
        <f t="shared" si="0"/>
        <v>(2025, '2025-01-15', 'Ханты-Мансийский автономный округ - Югра', e'Сергинский 24 Белоярский и Октябрьский районы',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D1 - 5,6 млн,т.
D2 - 0,3 млн,т.
газ
D1 -0,2 млрд,м3
D2 - 0,4 млрд,м3', '{"oil": {"D1": [5.6, "млн"], "D2": [0.3, "млн"]}, "gas": {"D1": [0.2, "млрд"], "D2": [0.4, "млрд"]}}'),</v>
      </c>
    </row>
    <row r="66" spans="1:8" ht="77.25" thickBot="1" x14ac:dyDescent="0.25">
      <c r="A66" s="6" t="s">
        <v>135</v>
      </c>
      <c r="B66" s="31" t="s">
        <v>258</v>
      </c>
      <c r="C66" s="13" t="s">
        <v>143</v>
      </c>
      <c r="D66" s="9" t="s">
        <v>203</v>
      </c>
      <c r="E66" t="str" cm="1" vm="68">
        <f t="array" ref="E66">_xlfn._xlws.PY(5,1,D66)</f>
        <v>{"oil": {"D1": [4.2, "млн"], "D2": [0.8, "млн"]}, "gas": {"D1": [0.9, "млрд"], "D2": [0.3, "млрд"]}}</v>
      </c>
      <c r="F66" t="s">
        <v>260</v>
      </c>
      <c r="G66" s="33" t="s">
        <v>262</v>
      </c>
      <c r="H66" t="str">
        <f t="shared" si="0"/>
        <v>(2025, '2025-01-15', 'Ханты-Мансийский автономный округ - Югра', e'Карабашский 78 Советский и Кондинский районы',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D1 -4,2 млн,т.
D2 - 0,8 млн,т.
газ
D1 -0,9 млрд,м3
D2 -0,3 млрд,м3', '{"oil": {"D1": [4.2, "млн"], "D2": [0.8, "млн"]}, "gas": {"D1": [0.9, "млрд"], "D2": [0.3, "млрд"]}}'),</v>
      </c>
    </row>
    <row r="67" spans="1:8" ht="90" thickBot="1" x14ac:dyDescent="0.25">
      <c r="A67" s="6" t="s">
        <v>136</v>
      </c>
      <c r="B67" s="31" t="s">
        <v>258</v>
      </c>
      <c r="C67" s="13" t="s">
        <v>144</v>
      </c>
      <c r="D67" s="9" t="s">
        <v>204</v>
      </c>
      <c r="E67" t="str" cm="1" vm="69">
        <f t="array" ref="E67">_xlfn._xlws.PY(5,1,D67)</f>
        <v>{"oil": {"Dл": [0.3, "млн"], "D1": [0.1, "млн"], "D2": [0.8, "млн"]}, "gas": {"D1": [5.1, "млрд"], "D2": [0.6, "млрд"]}}</v>
      </c>
      <c r="F67" t="s">
        <v>260</v>
      </c>
      <c r="G67" s="33" t="s">
        <v>262</v>
      </c>
      <c r="H67" t="str">
        <f t="shared" si="0"/>
        <v>(2025, '2025-01-15', 'Ханты-Мансийский автономный округ - Югра', e'Западно-Т оку шинский Советский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Dл - 0,3 млн,т.
D1 -0,1 млн,т.
D2 - 0,8 млн,т.
газ
D1 - 5,1 млрд,м3
D2 - 0,6 млрд,м3', '{"oil": {"Dл": [0.3, "млн"], "D1": [0.1, "млн"], "D2": [0.8, "млн"]}, "gas": {"D1": [5.1, "млрд"], "D2": [0.6, "млрд"]}}'),</v>
      </c>
    </row>
    <row r="68" spans="1:8" ht="90" thickBot="1" x14ac:dyDescent="0.25">
      <c r="A68" s="6" t="s">
        <v>137</v>
      </c>
      <c r="B68" s="31" t="s">
        <v>258</v>
      </c>
      <c r="C68" s="13" t="s">
        <v>145</v>
      </c>
      <c r="D68" s="9" t="s">
        <v>205</v>
      </c>
      <c r="E68" t="str" cm="1" vm="70">
        <f t="array" ref="E68">_xlfn._xlws.PY(5,1,D68)</f>
        <v>{"oil": {"D0": [8.563, "млн"], "D1": [2.3, "млн"], "D2": [0.6, "млн"]}, "gas": {"D1": [2.5, "млрд"], "D2": [0.4, "млрд"]}}</v>
      </c>
      <c r="F68" t="s">
        <v>260</v>
      </c>
      <c r="G68" s="33" t="s">
        <v>262</v>
      </c>
      <c r="H68" t="str">
        <f t="shared" si="0"/>
        <v>(2025, '2025-01-15', 'Ханты-Мансийский автономный округ - Югра', e'Токушинский Советский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(извл,)
D0 - 8,563 млн,т.
D1 -2,3 млн,т.
D2 - 0,6 млн,т.
газ
D1 - 2,5 млрд,м3
D2 - 0,4 млрд,м3', '{"oil": {"D0": [8.563, "млн"], "D1": [2.3, "млн"], "D2": [0.6, "млн"]}, "gas": {"D1": [2.5, "млрд"], "D2": [0.4, "млрд"]}}'),</v>
      </c>
    </row>
    <row r="69" spans="1:8" ht="90" thickBot="1" x14ac:dyDescent="0.25">
      <c r="A69" s="6" t="s">
        <v>138</v>
      </c>
      <c r="B69" s="31" t="s">
        <v>258</v>
      </c>
      <c r="C69" s="16" t="s">
        <v>146</v>
      </c>
      <c r="D69" s="9" t="s">
        <v>206</v>
      </c>
      <c r="E69" t="str" cm="1" vm="71">
        <f t="array" ref="E69">_xlfn._xlws.PY(5,1,D69)</f>
        <v>{"oil": {"D0": [0.665, "млн"], "D1": [1.2, "млн"], "D2": [0.3, "млн"]}, "gas": {"D1": [0.2, "млрд"], "D2": [0.6, "млрд"]}}</v>
      </c>
      <c r="F69" t="s">
        <v>260</v>
      </c>
      <c r="G69" s="33" t="s">
        <v>262</v>
      </c>
      <c r="H69" t="str">
        <f t="shared" ref="H69:H73" si="1">CONCATENATE("(2025, '2025-01-15', '", B69, "', e'", C69, "', '", F69, "', e'", G69, "', e'", D69, "', '", E69, "'),")</f>
        <v>(2025, '2025-01-15', 'Ханты-Мансийский автономный округ - Югра', e'ШугурСКИй Кондинский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(извл,)
D0 - 0,665 млн,т.
D1 - 1,2 млн,т.
D2 - 0,3 млн,т.
газ
D1 - 0,2 млрд,мЗ
D2 - 0,6 млрд,м3', '{"oil": {"D0": [0.665, "млн"], "D1": [1.2, "млн"], "D2": [0.3, "млн"]}, "gas": {"D1": [0.2, "млрд"], "D2": [0.6, "млрд"]}}'),</v>
      </c>
    </row>
    <row r="70" spans="1:8" ht="102.75" thickBot="1" x14ac:dyDescent="0.25">
      <c r="A70" s="6" t="s">
        <v>139</v>
      </c>
      <c r="B70" s="31" t="s">
        <v>258</v>
      </c>
      <c r="C70" s="13" t="s">
        <v>147</v>
      </c>
      <c r="D70" s="9" t="s">
        <v>207</v>
      </c>
      <c r="E70" t="str" cm="1" vm="72">
        <f t="array" ref="E70">_xlfn._xlws.PY(5,1,D70)</f>
        <v>{"oil": {"D0": [1.08, "млн"], "Dл": [0.5, "млн"], "D1": [1.0, "млн"], "D2": [0.3, "млн"]}, "gas": {"D1": [0.3, "млрд"], "D2": [0.8, "млрд"]}}</v>
      </c>
      <c r="F70" t="s">
        <v>260</v>
      </c>
      <c r="G70" s="33" t="s">
        <v>262</v>
      </c>
      <c r="H70" t="str">
        <f t="shared" si="1"/>
        <v>(2025, '2025-01-15', 'Ханты-Мансийский автономный округ - Югра', e'Шебурский Кондинский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(извл,)
D0 - 1,080 млн,т.
Dл - 0,5 млн,т
D1 - 1,0 млн,т.
D2 - 0,3 млн,т.
газ
D1 -0,3 млрд,м3
D2 - 0,8 млрд,мЗ', '{"oil": {"D0": [1.08, "млн"], "Dл": [0.5, "млн"], "D1": [1.0, "млн"], "D2": [0.3, "млн"]}, "gas": {"D1": [0.3, "млрд"], "D2": [0.8, "млрд"]}}'),</v>
      </c>
    </row>
    <row r="71" spans="1:8" ht="77.25" thickBot="1" x14ac:dyDescent="0.25">
      <c r="A71" s="6" t="s">
        <v>140</v>
      </c>
      <c r="B71" s="31" t="s">
        <v>258</v>
      </c>
      <c r="C71" s="13" t="s">
        <v>148</v>
      </c>
      <c r="D71" s="9" t="s">
        <v>208</v>
      </c>
      <c r="E71" t="str" cm="1" vm="73">
        <f t="array" ref="E71">_xlfn._xlws.PY(5,1,D71)</f>
        <v>{"oil": {"D1": [1.2, "млн"], "D2": [0.3, "млн"]}, "gas": {"D1": [0.2, "млрд"], "D2": [0.4, "млрд"]}}</v>
      </c>
      <c r="F71" t="s">
        <v>260</v>
      </c>
      <c r="G71" s="33" t="s">
        <v>262</v>
      </c>
      <c r="H71" t="str">
        <f t="shared" si="1"/>
        <v>(2025, '2025-01-15', 'Ханты-Мансийский автономный округ - Югра', e'Карымский Кондинский район',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
D1 -1,2 млн,т.
D2 -0,3 млн,т.
газ
D1 -0,2 млрд,м3
D2 - 0,4 млрд,м3', '{"oil": {"D1": [1.2, "млн"], "D2": [0.3, "млн"]}, "gas": {"D1": [0.2, "млрд"], "D2": [0.4, "млрд"]}}'),</v>
      </c>
    </row>
    <row r="72" spans="1:8" ht="141" thickBot="1" x14ac:dyDescent="0.25">
      <c r="A72" s="6" t="s">
        <v>149</v>
      </c>
      <c r="B72" s="9" t="s">
        <v>152</v>
      </c>
      <c r="C72" s="8" t="s">
        <v>154</v>
      </c>
      <c r="D72" s="9" t="s">
        <v>209</v>
      </c>
      <c r="E72" t="str" cm="1" vm="74">
        <f t="array" ref="E72">_xlfn._xlws.PY(5,1,D72)</f>
        <v>{"oil": {"D0": [0.361, "млнт"], "Dл": [1.9, "млн.т"], "D1": [4.0, "млн т"], "D2": [7.842, "млн т"]}, "gas": {"D1": [13.645, "млрд м3"], "D2": [19.972, "млрд м3"]}, "cond": {"D1": [2.096, "млн т"], "D2": [1.097, "млн т"]}}</v>
      </c>
      <c r="F72" t="s">
        <v>260</v>
      </c>
      <c r="G72" s="33" t="s">
        <v>262</v>
      </c>
      <c r="H72" t="str">
        <f t="shared" si="1"/>
        <v>(2025, '2025-01-15', 'Ямало-Ненецкий автономный округ', e'Западно-Кьшакьшекий',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(извл)
D0 -0,361 млнт
Dл -1,9 млн.т
D1 -4,000 млн т
D2 - 7,842 млн т
Газ
D1 - 13,645 млрд м3
D2 - 19,972 млрд м3
Конденсат
D1 - 2,096 млн т
D2 - 1,097 млн т', '{"oil": {"D0": [0.361, "млнт"], "Dл": [1.9, "млн.т"], "D1": [4.0, "млн т"], "D2": [7.842, "млн т"]}, "gas": {"D1": [13.645, "млрд м3"], "D2": [19.972, "млрд м3"]}, "cond": {"D1": [2.096, "млн т"], "D2": [1.097, "млн т"]}}'),</v>
      </c>
    </row>
    <row r="73" spans="1:8" ht="26.25" thickBot="1" x14ac:dyDescent="0.25">
      <c r="A73" s="6" t="s">
        <v>150</v>
      </c>
      <c r="B73" s="6" t="s">
        <v>153</v>
      </c>
      <c r="C73" s="18" t="s">
        <v>210</v>
      </c>
      <c r="D73" s="9" t="s">
        <v>256</v>
      </c>
      <c r="E73" t="str" cm="1" vm="75">
        <f t="array" ref="E73">_xlfn._xlws.PY(6,1,D73)</f>
        <v>{"oil": {"AB1": [0.001, "млн.т."]}}</v>
      </c>
      <c r="F73" t="s">
        <v>260</v>
      </c>
      <c r="G73" s="33" t="s">
        <v>262</v>
      </c>
      <c r="H73" t="str">
        <f t="shared" si="1"/>
        <v>(2025, '2025-01-15', 'Краснодарский край', e'Камышановая балка',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(извл)
AB1-0.001 млн.т.', '{"oil": {"AB1": [0.001, "млн.т."]}}'),</v>
      </c>
    </row>
    <row r="74" spans="1:8" ht="26.25" thickBot="1" x14ac:dyDescent="0.25">
      <c r="A74" s="6" t="s">
        <v>151</v>
      </c>
      <c r="B74" s="6" t="s">
        <v>153</v>
      </c>
      <c r="C74" s="8" t="s">
        <v>155</v>
      </c>
      <c r="D74" s="9" t="s">
        <v>257</v>
      </c>
      <c r="E74" t="str" cm="1" vm="76">
        <f t="array" ref="E74">_xlfn._xlws.PY(6,1,D74)</f>
        <v>{"oil": {"AB1": [0.009, "млн.т."]}}</v>
      </c>
      <c r="F74" t="s">
        <v>260</v>
      </c>
      <c r="G74" s="33" t="s">
        <v>262</v>
      </c>
      <c r="H74" t="str">
        <f>CONCATENATE("(2025, '2025-01-15', '", B74, "', e'", C74, "', '", F74, "', e'", G74, "', e'", D74, "', '", E74, "')")</f>
        <v>(2025, '2025-01-15', 'Краснодарский край', e'Хадыженский', 'Прогнозный перечень участков недр углеводородного сырья, аукционы по которым планируется провести в 2025 году', e'https://rosnedra.gov.ru/activity/informatsionnye-resursy-i-programmy/prog2noznyy-perechen-uchastkov-nedr-uglevodorodnogo-syrya-auktsiony-po-kotorym-planiruetsya-provesti-/', e'нефть (извл)
АВ1-0.009 млн.т.', '{"oil": {"AB1": [0.009, "млн.т."]}}')</v>
      </c>
    </row>
  </sheetData>
  <hyperlinks>
    <hyperlink ref="G3" r:id="rId1" xr:uid="{4CEB84D5-06F5-4A38-A522-6349A149CDE3}"/>
    <hyperlink ref="G4" r:id="rId2" xr:uid="{70127B70-95FF-4723-855A-F37036DD22B4}"/>
    <hyperlink ref="G5" r:id="rId3" xr:uid="{51807F1E-8038-43DC-B6E2-6138CEA60B4D}"/>
    <hyperlink ref="G6" r:id="rId4" xr:uid="{4247FA1C-86C5-4536-9CC5-D58301E144F8}"/>
    <hyperlink ref="G7" r:id="rId5" xr:uid="{EB5FCB8F-B3DB-420F-8A0B-DEB8306C9AA1}"/>
    <hyperlink ref="G8" r:id="rId6" xr:uid="{EF006CE5-732C-4A93-B722-0166662FD2EE}"/>
    <hyperlink ref="G9" r:id="rId7" xr:uid="{F003065C-B206-49C0-8C9A-30CBB2ECE488}"/>
    <hyperlink ref="G10" r:id="rId8" xr:uid="{80E816FA-EF3B-40E7-B01C-4DAF92E91723}"/>
    <hyperlink ref="G11" r:id="rId9" xr:uid="{D041F35A-6B42-4EE8-A354-CFDFEF6D5B6C}"/>
    <hyperlink ref="G12" r:id="rId10" xr:uid="{B4181C90-3D70-4CBC-A874-E013C4B1C5E5}"/>
    <hyperlink ref="G13" r:id="rId11" xr:uid="{C56B6EEE-3A4A-41EB-9F82-038D55F545E5}"/>
    <hyperlink ref="G14" r:id="rId12" xr:uid="{D5FD7D93-D7A0-4EE6-B1C1-8AC66FA36617}"/>
    <hyperlink ref="G15" r:id="rId13" xr:uid="{54DFB264-74D3-4FA4-BCDB-3E09140B4CF0}"/>
    <hyperlink ref="G16" r:id="rId14" xr:uid="{3AA11F95-959B-4745-A41E-7228CAA64871}"/>
    <hyperlink ref="G17" r:id="rId15" xr:uid="{95CAC99C-9C72-4208-BC7B-0E741B6E2B0B}"/>
    <hyperlink ref="G18" r:id="rId16" xr:uid="{977692C4-5D0B-4346-93D0-9EA114EE460C}"/>
    <hyperlink ref="G19" r:id="rId17" xr:uid="{89541D44-DF25-4365-8C4E-4F0DFA3AD310}"/>
    <hyperlink ref="G20" r:id="rId18" xr:uid="{18683BFC-8034-4586-8021-08BA3CE2FD30}"/>
    <hyperlink ref="G21" r:id="rId19" xr:uid="{E59E29C1-1235-484B-822B-766524048BBA}"/>
    <hyperlink ref="G22" r:id="rId20" xr:uid="{DA6AEF28-0C68-448F-ACC1-ED66B0994A09}"/>
    <hyperlink ref="G23" r:id="rId21" xr:uid="{FAB8F5EC-6CA2-49A8-ACDC-EC0D84CAB8DE}"/>
    <hyperlink ref="G24" r:id="rId22" xr:uid="{C405F79A-EED4-4895-AE50-05910F45E60C}"/>
    <hyperlink ref="G25" r:id="rId23" xr:uid="{BA2760E0-8A40-4E5C-B1A7-31A22EC85AD8}"/>
    <hyperlink ref="G26" r:id="rId24" xr:uid="{734B6840-95AF-40AB-8A47-36E28274AAC6}"/>
    <hyperlink ref="G27" r:id="rId25" xr:uid="{A5438B17-C175-4CEE-A1B0-4E28F8B12975}"/>
    <hyperlink ref="G28" r:id="rId26" xr:uid="{739006F8-4788-4418-B073-49EDBCA66CE8}"/>
    <hyperlink ref="G29" r:id="rId27" xr:uid="{C7562E3E-8CD2-40D4-8AB1-1489DA07EE5A}"/>
    <hyperlink ref="G30" r:id="rId28" xr:uid="{08250C6C-AD14-4595-8C91-07E211192A61}"/>
    <hyperlink ref="G31" r:id="rId29" xr:uid="{E26C9478-9CF1-4CEC-9384-0294D1E3D79D}"/>
    <hyperlink ref="G32" r:id="rId30" xr:uid="{E858943C-E5CD-4D4C-89F9-2112093FC3ED}"/>
    <hyperlink ref="G33" r:id="rId31" xr:uid="{D2684E53-55F5-4D3D-A1AC-43EB9C73522F}"/>
    <hyperlink ref="G34" r:id="rId32" xr:uid="{4573471B-7090-4F1D-95AE-60902A8DA688}"/>
    <hyperlink ref="G35" r:id="rId33" xr:uid="{E210D98E-57D5-45D2-B7A6-FAA2D402B1E2}"/>
    <hyperlink ref="G36" r:id="rId34" xr:uid="{FACC4B1A-3636-472D-8328-D0DD3BD2AB94}"/>
    <hyperlink ref="G37" r:id="rId35" xr:uid="{2E941F48-D42A-4C44-B313-E26630C84F50}"/>
    <hyperlink ref="G38" r:id="rId36" xr:uid="{1BCAD9C7-C7A8-40BF-AF09-0A9A86A332BC}"/>
    <hyperlink ref="G39" r:id="rId37" xr:uid="{D15A9381-3D22-4971-873A-837C80C4019A}"/>
    <hyperlink ref="G40" r:id="rId38" xr:uid="{D65E9DB5-260B-492C-8D67-BE6DCDF256B4}"/>
    <hyperlink ref="G41" r:id="rId39" xr:uid="{3A042796-263F-4884-9AA7-5E89177EB80A}"/>
    <hyperlink ref="G42" r:id="rId40" xr:uid="{47160380-4BC1-4DD0-9BBB-3A8629AD5F60}"/>
    <hyperlink ref="G43" r:id="rId41" xr:uid="{7B54F3EF-A772-4899-9B01-2EA093AE34FF}"/>
    <hyperlink ref="G44" r:id="rId42" xr:uid="{A1C25EE6-6486-4C76-909A-80E1DF5A5D00}"/>
    <hyperlink ref="G45" r:id="rId43" xr:uid="{54369A65-6B61-421F-ADEB-FDBD303F4C32}"/>
    <hyperlink ref="G46" r:id="rId44" xr:uid="{92FCBCEE-06CC-4CFB-937B-A2CBBAF875FD}"/>
    <hyperlink ref="G47" r:id="rId45" xr:uid="{50771E6B-D199-41F6-ACD4-B8DDD870044F}"/>
    <hyperlink ref="G48" r:id="rId46" xr:uid="{0D886194-56D0-4F59-95CC-8DB2E65AD339}"/>
    <hyperlink ref="G49" r:id="rId47" xr:uid="{0F98443C-8C8C-460C-B70F-2B330E57ED6D}"/>
    <hyperlink ref="G50" r:id="rId48" xr:uid="{D194ED9A-A7DD-44F1-A292-7CB702FF5283}"/>
    <hyperlink ref="G51" r:id="rId49" xr:uid="{63217E28-405D-41E2-8613-DCB239D87CAA}"/>
    <hyperlink ref="G52" r:id="rId50" xr:uid="{F1E7ADF9-3D21-4B3B-A72C-DFC5B8BCD5CA}"/>
    <hyperlink ref="G53" r:id="rId51" xr:uid="{2235EA86-C348-4C32-B12A-E2EF76DD4F79}"/>
    <hyperlink ref="G54" r:id="rId52" xr:uid="{26DE5CCB-BECD-42C9-AFC9-600BAE4545D8}"/>
    <hyperlink ref="G55" r:id="rId53" xr:uid="{49458DB4-C893-4CE6-B94E-4CE2EAC25CF1}"/>
    <hyperlink ref="G56" r:id="rId54" xr:uid="{3410A093-C7C4-419A-84E6-691AF0313E61}"/>
    <hyperlink ref="G57" r:id="rId55" xr:uid="{0AE9B055-8706-4C67-8978-464A3C90D958}"/>
    <hyperlink ref="G58" r:id="rId56" xr:uid="{DD38D9B7-1D62-402D-860A-54C891AE9883}"/>
    <hyperlink ref="G59" r:id="rId57" xr:uid="{B46203F8-CF98-42D3-862E-06E607A3618C}"/>
    <hyperlink ref="G60" r:id="rId58" xr:uid="{57B1BC50-4C21-4CDB-B9DF-D2970C7A60B4}"/>
    <hyperlink ref="G61" r:id="rId59" xr:uid="{4C5974B9-B407-4494-97DE-6A454F7046FE}"/>
    <hyperlink ref="G62" r:id="rId60" xr:uid="{8A1FFB30-140A-4FF2-B615-94F4E732EB43}"/>
    <hyperlink ref="G63" r:id="rId61" xr:uid="{89FCA499-F76A-4F13-973D-BE0C67CC6A7A}"/>
    <hyperlink ref="G64" r:id="rId62" xr:uid="{F726701A-3A5E-4C72-9AD1-77D442D6158B}"/>
    <hyperlink ref="G65" r:id="rId63" xr:uid="{E80D3710-EFA2-4ED6-A8FE-D6E415731BA7}"/>
    <hyperlink ref="G66" r:id="rId64" xr:uid="{E4195FEA-6041-47E8-91F9-E23F35B024DB}"/>
    <hyperlink ref="G67" r:id="rId65" xr:uid="{5B3FE629-EB03-4D59-9553-C8B6CA64711C}"/>
    <hyperlink ref="G68" r:id="rId66" xr:uid="{DA3C17D0-8B76-4488-92A9-169E88176CD3}"/>
    <hyperlink ref="G69" r:id="rId67" xr:uid="{DA06BC40-F473-4C3B-996E-C1E7F1F8522D}"/>
    <hyperlink ref="G70" r:id="rId68" xr:uid="{AFFD0E88-EC02-4B73-9DF1-10D5797339F5}"/>
    <hyperlink ref="G71" r:id="rId69" xr:uid="{FFB460CA-2BA0-4D75-A95A-9333452B31AA}"/>
    <hyperlink ref="G72" r:id="rId70" xr:uid="{A2730BA5-4F2B-4112-9EC2-477B2744665E}"/>
    <hyperlink ref="G73" r:id="rId71" xr:uid="{6464824E-3D7A-4A09-B394-7CD6C262C638}"/>
    <hyperlink ref="G74" r:id="rId72" xr:uid="{FAE397CE-841F-4710-A87E-7C0BD79791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Get Started with Python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Stepan Osokin</cp:lastModifiedBy>
  <dcterms:modified xsi:type="dcterms:W3CDTF">2026-05-24T17:42:28Z</dcterms:modified>
</cp:coreProperties>
</file>