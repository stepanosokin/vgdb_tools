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python.xml" ContentType="application/vnd.ms-excel.python+xml"/>
  <Override PartName="/xl/richData/rdarray.xml" ContentType="application/vnd.ms-excel.rdarray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SOKIN\PROG\vgdb_tools\rosnedra_forecast\2026\"/>
    </mc:Choice>
  </mc:AlternateContent>
  <bookViews>
    <workbookView xWindow="0" yWindow="360" windowWidth="38640" windowHeight="21120" activeTab="1"/>
  </bookViews>
  <sheets>
    <sheet name="Get Started with Python" sheetId="2" r:id="rId1"/>
    <sheet name="Sheet1" sheetId="1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4" i="1"/>
  <c r="H5" i="2" l="1" a="1"/>
  <c r="H9" i="2" a="1"/>
  <c r="H13" i="2" a="1"/>
  <c r="H18" i="2" a="1"/>
  <c r="H27" i="2" a="1"/>
  <c r="E4" i="1" a="1"/>
  <c r="E3" i="1" a="1"/>
  <c r="E5" i="1" a="1"/>
  <c r="E8" i="1" a="1"/>
  <c r="E6" i="1" a="1"/>
  <c r="E7" i="1" a="1"/>
  <c r="E9" i="1" a="1"/>
  <c r="E10" i="1" a="1"/>
  <c r="E11" i="1" a="1"/>
  <c r="E12" i="1" a="1"/>
  <c r="E13" i="1" a="1"/>
  <c r="E13" i="1" l="1"/>
  <c r="E12" i="1"/>
  <c r="E11" i="1"/>
  <c r="E10" i="1"/>
  <c r="E9" i="1"/>
  <c r="E8" i="1"/>
  <c r="E7" i="1"/>
  <c r="E6" i="1"/>
  <c r="E5" i="1"/>
  <c r="E4" i="1"/>
  <c r="E3" i="1"/>
  <c r="H27" i="2"/>
  <c r="H18" i="2"/>
  <c r="H13" i="2"/>
  <c r="H9" i="2"/>
  <c r="H5" i="2"/>
  <c r="E14" i="1" a="1"/>
  <c r="E15" i="1" a="1"/>
  <c r="E16" i="1" a="1"/>
  <c r="E17" i="1" a="1"/>
  <c r="E18" i="1" a="1"/>
  <c r="E19" i="1" a="1"/>
  <c r="E20" i="1" a="1"/>
  <c r="E21" i="1" a="1"/>
  <c r="E22" i="1" a="1"/>
  <c r="E23" i="1" a="1"/>
  <c r="E24" i="1" a="1"/>
  <c r="E25" i="1" a="1"/>
  <c r="E26" i="1" a="1"/>
  <c r="E27" i="1" a="1"/>
  <c r="E28" i="1" a="1"/>
  <c r="E29" i="1" a="1"/>
  <c r="E30" i="1" a="1"/>
  <c r="E31" i="1" a="1"/>
  <c r="E32" i="1" a="1"/>
  <c r="E33" i="1" a="1"/>
  <c r="E34" i="1" a="1"/>
  <c r="E35" i="1" a="1"/>
  <c r="E36" i="1" a="1"/>
  <c r="E37" i="1" a="1"/>
  <c r="E38" i="1" a="1"/>
  <c r="E39" i="1" a="1"/>
  <c r="E40" i="1" a="1"/>
  <c r="E41" i="1" a="1"/>
  <c r="E42" i="1" a="1"/>
  <c r="E43" i="1" a="1"/>
  <c r="E44" i="1" a="1"/>
  <c r="E45" i="1" a="1"/>
  <c r="E46" i="1" a="1"/>
  <c r="E47" i="1" a="1"/>
  <c r="E48" i="1" a="1"/>
  <c r="E49" i="1" a="1"/>
  <c r="E50" i="1" a="1"/>
  <c r="E51" i="1" a="1"/>
  <c r="E52" i="1" a="1"/>
  <c r="E53" i="1" a="1"/>
  <c r="E54" i="1" a="1"/>
  <c r="E55" i="1" a="1"/>
  <c r="E56" i="1" a="1"/>
  <c r="E57" i="1" a="1"/>
  <c r="E58" i="1" a="1"/>
  <c r="E59" i="1" a="1"/>
  <c r="E60" i="1" a="1"/>
  <c r="E61" i="1" a="1"/>
  <c r="E62" i="1" a="1"/>
  <c r="E63" i="1" a="1"/>
  <c r="E64" i="1" a="1"/>
  <c r="E65" i="1" a="1"/>
  <c r="E66" i="1" a="1"/>
  <c r="E67" i="1" a="1"/>
  <c r="E68" i="1" a="1"/>
  <c r="E69" i="1" a="1"/>
  <c r="E70" i="1" a="1"/>
  <c r="E71" i="1" a="1"/>
  <c r="E72" i="1" a="1"/>
  <c r="E73" i="1" a="1"/>
  <c r="E74" i="1" a="1"/>
  <c r="E75" i="1" a="1"/>
  <c r="E76" i="1" a="1"/>
  <c r="E77" i="1" a="1"/>
  <c r="E78" i="1" a="1"/>
  <c r="E79" i="1" a="1"/>
  <c r="E80" i="1" a="1"/>
  <c r="E81" i="1" a="1"/>
  <c r="E82" i="1" a="1"/>
  <c r="E83" i="1" a="1"/>
  <c r="E84" i="1" a="1"/>
  <c r="E85" i="1" a="1"/>
  <c r="E86" i="1" a="1"/>
  <c r="E87" i="1" a="1"/>
  <c r="E88" i="1" a="1"/>
  <c r="E89" i="1" a="1"/>
  <c r="E90" i="1" a="1"/>
  <c r="E91" i="1" a="1"/>
  <c r="E92" i="1" a="1"/>
  <c r="E93" i="1" a="1"/>
  <c r="E94" i="1" a="1"/>
  <c r="E95" i="1" a="1"/>
  <c r="E96" i="1" a="1"/>
  <c r="E97" i="1" a="1"/>
  <c r="E98" i="1" a="1"/>
  <c r="E99" i="1" a="1"/>
  <c r="E100" i="1" a="1"/>
  <c r="E101" i="1" a="1"/>
  <c r="E102" i="1" a="1"/>
  <c r="E103" i="1" a="1"/>
  <c r="E104" i="1" a="1"/>
  <c r="E105" i="1" a="1"/>
  <c r="E106" i="1" a="1"/>
  <c r="E107" i="1" a="1"/>
  <c r="E108" i="1" a="1"/>
  <c r="E109" i="1" a="1"/>
  <c r="E110" i="1" a="1"/>
  <c r="E111" i="1" a="1"/>
  <c r="E112" i="1" a="1"/>
  <c r="E113" i="1" a="1"/>
  <c r="E114" i="1" a="1"/>
  <c r="E114" i="1" l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</calcChain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5"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sample_dataframe = xl(%P2%, headers=True)</code>
    </pythonScript>
    <pythonScript>
      <code>sample_dataframe.describe()</code>
    </pythonScript>
    <pythonScript>
      <code>series = sample_dataframe.groupby(["species"]).petal_width.mean()</code>
    </pythonScript>
    <pythonScript>
      <code>species = ["setosa", "versicolor", "virginica"]
average_petal_width = sample_dataframe.groupby(["species"]).petal_width.mean()
plt.bar(species, average_petal_width)
plt.xlabel("Species")
plt.ylabel("Average petal width")
plt.title("Average petal width by species")</code>
    </pythonScript>
    <pythonScript>
      <code>pairplot = sns.pairplot(sample_dataframe, hue="species", palette="husl")</code>
    </pythonScript>
    <pythonScript>
      <code xml:space="preserve">import re, json
def parse_resources(text):    
    templ = r''
    resdict = {
        r'нефт.?': 'oil', 
        r'газ.?': 'gas', 
        r'конденсат.?': 'cond'
        }
    catlist = [
        'A', 'B1', 'B2', 'C1', 'C2', 'D0', 'Dл', 'D1', 'D2'
    ]
    for k, v in resdict.items():
        if re.search(fr'{k}', text, re.I|re.S):
            templ += fr'(?P&lt;{v}name&gt;{k}(\s*\(?извл\.?\)?)?)(?P&lt;{v}&gt;.*)'
    # if re.search(r'нефть', text, re.I|re.S):
    #     templ += r'(?P&lt;oilname&gt;нефть(\s*\(?извл\.?\)?)?)(?P&lt;oilval&gt;.*)'
    # if re.search(r'газ', text, re.I|re.S):
    #     templ += r'(?P&lt;gasname&gt;газ)(?P&lt;gasval&gt;.*)'
    # if re.search(r'конденсат', text, re.I|re.S):
    #     templ += r'(?P&lt;condname&gt;конденсат)(?P&lt;condval&gt;.*)'
    match1 = re.search(templ, text, re.I|re.S)
    if match1:
        dict1 = match1.groupdict()
        def parse_resvalues(txt):
            SUB = str.maketrans( "₀₁₂₃₄₅₆₇₈₉", "0123456789")
            SUP = str.maketrans("⁰¹²³⁴⁵⁶⁷⁸⁹", "0123456789")
            txt = txt.translate(SUB)
            txt = txt.translate(SUP)
            ruseng = str.maketrans( "АВСД", "ABCD")
            txt = txt.translate(ruseng)
            tmpl = r''
            for cat in catlist:
                # if re.search(fr'^ ?{cat}', txt, re.M):
                if re.search(fr' ?{cat}', txt, re.M):                    
                    # tmpl += fr'.*^.*(?P&lt;{cat}catname&gt;{cat}) *[-–] *(?P&lt;{cat}catvalue&gt;.+$)'
                    tmpl += fr'.*(?P&lt;{cat}catname&gt;{cat}) *[-–] *(?P&lt;{cat}catvalue&gt;.+)'
            mtch1 = re.search(tmpl, txt, re.M|re.S)
            if mtch1:
                return mtch1.groupdict()
            else:
                return None
        dict2 = {}
        for k, v in dict1.items():
            # if k in ['oilval', 'gasval', 'condval']:
            if k in resdict.values():
                parsed_v = parse_resvalues(v)
                if parsed_v:
                    dict2[k] = parsed_v
        if dict2:
            dict2 = {k: {k2: v2.replace('\n', '').strip() for k2, v2 in v.items()} for k, v in dict2.items()}
            for k, v in dict2.items():
                for k2, v2 in v.items():
                    if 'catvalue' in k2:
                        tup = None
                        # tmpl = r'(\d+[,\.]\d+) ?(\w+\.? *\w+\.?)'
                        # tmpl = r'(\d+[,\.]?\d*) ?(\w+\.? *\w+\.?)'
                        # tmpl = r'(\d+[,\.]?\d*) *(\w+\.? *\w+\.?)'
                        tmpl = r'(\d+[,\.]? ?\d*) *(\w+\.? *\w+\.?)'
                        match = re.search(tmpl, v2)
                        if match:
                            tup = tuple(match.groups())
                        if tup:
                            tup = (float(tup[0].replace(',', '.').replace(' ', '')), tup[1])
                            if re.search(r'тыс\.? ?т\.?', tup[1], re.I) and k in ['oil', 'cond']:
                                tup = (tup[0] / 1000, tup[1].replace('тыс', 'млн'))
                            if re.search(r'млн|миллион', tup[1], re.I) and k == 'gas':
                                tup = (tup[0] / 1000, tup[1].replace('млн', 'млрд').replace('миллион', 'млрд'))
                            dict2[k][k2] = tup
                        pass
            dict2 = {k: {k2.replace('catvalue', ''): v2 for k2, v2 in v.items() if 'catvalue' in k2} for k, v in dict2.items()}
            return dict2
    return None
json.dumps(parse_resources(xl(%P2%)), ensure_ascii=False)
</code>
    </pythonScript>
    <pythonScript>
      <code xml:space="preserve">import re, json
def parse_resources(text):    
    templ = r''
    resdict = {
        r'нефт.?': 'oil', 
        r'газ.?': 'gas', 
        r'конденсат.?': 'cond'
        }
    catlist = [
        'AB1', 'B2', 'C1', 'C2', 'D0', 'Dл', 'D1', 'D2'
    ]
    for k, v in resdict.items():
        if re.search(fr'{k}', text, re.I|re.S):
            templ += fr'(?P&lt;{v}name&gt;{k}(\s*\(?извл\.?\)?)?)(?P&lt;{v}&gt;.*)'
    # if re.search(r'нефть', text, re.I|re.S):
    #     templ += r'(?P&lt;oilname&gt;нефть(\s*\(?извл\.?\)?)?)(?P&lt;oilval&gt;.*)'
    # if re.search(r'газ', text, re.I|re.S):
    #     templ += r'(?P&lt;gasname&gt;газ)(?P&lt;gasval&gt;.*)'
    # if re.search(r'конденсат', text, re.I|re.S):
    #     templ += r'(?P&lt;condname&gt;конденсат)(?P&lt;condval&gt;.*)'
    match1 = re.search(templ, text, re.I|re.S)
    if match1:
        dict1 = match1.groupdict()
        def parse_resvalues(txt):
            SUB = str.maketrans( "₀₁₂₃₄₅₆₇₈₉", "0123456789")
            SUP = str.maketrans("⁰¹²³⁴⁵⁶⁷⁸⁹", "0123456789")
            txt = txt.translate(SUB)
            txt = txt.translate(SUP)
            ruseng = str.maketrans( "АВСД", "ABCD")
            txt = txt.translate(ruseng)
            tmpl = r''
            for cat in catlist:
                # if re.search(fr'^ ?{cat}', txt, re.M):
                if re.search(fr' ?{cat}', txt, re.M):                    
                    # tmpl += fr'.*^.*(?P&lt;{cat}catname&gt;{cat}) *[-–] *(?P&lt;{cat}catvalue&gt;.+$)'
                    tmpl += fr'.*(?P&lt;{cat}catname&gt;{cat}) *[-–] *(?P&lt;{cat}catvalue&gt;.+)'
            mtch1 = re.search(tmpl, txt, re.M|re.S)
            if mtch1:
                return mtch1.groupdict()
            else:
                return None
        dict2 = {}
        for k, v in dict1.items():
            # if k in ['oilval', 'gasval', 'condval']:
            if k in resdict.values():
                parsed_v = parse_resvalues(v)
                if parsed_v:
                    dict2[k] = parsed_v
        if dict2:
            dict2 = {k: {k2: v2.replace('\n', '').strip() for k2, v2 in v.items()} for k, v in dict2.items()}
            for k, v in dict2.items():
                for k2, v2 in v.items():
                    if 'catvalue' in k2:
                        tup = None
                        # tmpl = r'(\d+[,\.]\d+) ?(\w+\.? *\w+\.?)'
                        # tmpl = r'(\d+[,\.]?\d*) ?(\w+\.? *\w+\.?)'
                        # tmpl = r'(\d+[,\.]?\d*) *(\w+\.? *\w+\.?)'
                        tmpl = r'(\d+[,\.]? ?\d*) *(\w+\.? *\w+\.?)'
                        match = re.search(tmpl, v2)
                        if match:
                            tup = tuple(match.groups())
                        if tup:
                            tup = (float(tup[0].replace(',', '.').replace(' ', '')), tup[1])
                            if re.search(r'тыс\.? ?т\.?', tup[1], re.I) and k in ['oil', 'cond']:
                                tup = (tup[0] / 1000, tup[1].replace('тыс', 'млн'))
                            if re.search(r'млн|миллион', tup[1], re.I) and k == 'gas':
                                tup = (tup[0] / 1000, tup[1].replace('млн', 'млрд').replace('миллион', 'млрд'))
                            dict2[k][k2] = tup
                        pass
            dict2 = {k: {k2.replace('catvalue', ''): v2 for k2, v2 in v.items() if 'catvalue' in k2} for k, v in dict2.items()}
            return dict2
    return None
json.dumps(parse_resources(xl(%P2%)), ensure_ascii=False)
</code>
    </pythonScript>
  </pythonScripts>
</python>
</file>

<file path=xl/sharedStrings.xml><?xml version="1.0" encoding="utf-8"?>
<sst xmlns="http://schemas.openxmlformats.org/spreadsheetml/2006/main" count="901" uniqueCount="418">
  <si>
    <r>
      <rPr>
        <sz val="11"/>
        <rFont val="Times New Roman"/>
      </rPr>
      <t>№ п/п</t>
    </r>
  </si>
  <si>
    <r>
      <rPr>
        <sz val="9"/>
        <rFont val="Times New Roman"/>
      </rPr>
      <t>1</t>
    </r>
  </si>
  <si>
    <r>
      <rPr>
        <sz val="9"/>
        <rFont val="Times New Roman"/>
      </rPr>
      <t>2</t>
    </r>
  </si>
  <si>
    <r>
      <rPr>
        <sz val="9"/>
        <rFont val="Times New Roman"/>
      </rPr>
      <t>3</t>
    </r>
  </si>
  <si>
    <r>
      <rPr>
        <sz val="9"/>
        <rFont val="Times New Roman"/>
      </rPr>
      <t>4</t>
    </r>
  </si>
  <si>
    <r>
      <rPr>
        <sz val="11"/>
        <rFont val="Times New Roman"/>
      </rPr>
      <t>Субъект РФ</t>
    </r>
  </si>
  <si>
    <r>
      <rPr>
        <sz val="11"/>
        <rFont val="Times New Roman"/>
      </rPr>
      <t>Наименование участка недр</t>
    </r>
  </si>
  <si>
    <r>
      <rPr>
        <sz val="11"/>
        <rFont val="Times New Roman"/>
      </rPr>
      <t>Извлекаемые запасы и прсогнозные ресурсы (с указанием категории) (ед.изм.)</t>
    </r>
  </si>
  <si>
    <t>Data attribution: Fisher,R. A.. (1988). Iris. UCI Machine Learning Repository. https://doi.org/10.24432/C56C76</t>
  </si>
  <si>
    <t>virginica</t>
  </si>
  <si>
    <t>versicolor</t>
  </si>
  <si>
    <t>setosa</t>
  </si>
  <si>
    <r>
      <t xml:space="preserve">The seaborn library is also available by default. Use the alias </t>
    </r>
    <r>
      <rPr>
        <b/>
        <sz val="11"/>
        <color theme="1"/>
        <rFont val="Aptos Narrow"/>
        <family val="2"/>
        <scheme val="minor"/>
      </rPr>
      <t>sns</t>
    </r>
    <r>
      <rPr>
        <i/>
        <sz val="11"/>
        <color theme="1"/>
        <rFont val="Aptos Narrow"/>
        <family val="2"/>
        <scheme val="minor"/>
      </rPr>
      <t xml:space="preserve"> to call the seaborn library.
Select the cell containing the pair plot visualization, and then use the </t>
    </r>
    <r>
      <rPr>
        <b/>
        <sz val="11"/>
        <color theme="1"/>
        <rFont val="Aptos Narrow"/>
        <family val="2"/>
        <scheme val="minor"/>
      </rPr>
      <t>Create Reference</t>
    </r>
    <r>
      <rPr>
        <i/>
        <sz val="11"/>
        <color theme="1"/>
        <rFont val="Aptos Narrow"/>
        <family val="2"/>
        <scheme val="minor"/>
      </rPr>
      <t xml:space="preserve"> button to extract the visualization image to the Excel grid. 
Drag and drop the reference image to move it around the grid.</t>
    </r>
  </si>
  <si>
    <t xml:space="preserve">Create a pair plot with the open-source Python library seaborn to visualize the relationships between the numerical columns. Set the output to display by species color. </t>
  </si>
  <si>
    <r>
      <t xml:space="preserve">The Matplotlib library is available by default with Python in Excel. Use the alias </t>
    </r>
    <r>
      <rPr>
        <b/>
        <sz val="11"/>
        <color theme="1"/>
        <rFont val="Aptos Narrow"/>
        <family val="2"/>
        <scheme val="minor"/>
      </rPr>
      <t>plt</t>
    </r>
    <r>
      <rPr>
        <i/>
        <sz val="11"/>
        <color theme="1"/>
        <rFont val="Aptos Narrow"/>
        <family val="2"/>
        <scheme val="minor"/>
      </rPr>
      <t xml:space="preserve"> to call matplotlib.
Open the right-click menu and use </t>
    </r>
    <r>
      <rPr>
        <b/>
        <sz val="11"/>
        <color theme="1"/>
        <rFont val="Aptos Narrow"/>
        <family val="2"/>
        <scheme val="minor"/>
      </rPr>
      <t>Python Output</t>
    </r>
    <r>
      <rPr>
        <i/>
        <sz val="11"/>
        <color theme="1"/>
        <rFont val="Aptos Narrow"/>
        <family val="2"/>
        <scheme val="minor"/>
      </rPr>
      <t xml:space="preserve"> to toggle results between Excel values and Python objects.</t>
    </r>
  </si>
  <si>
    <r>
      <rPr>
        <sz val="11"/>
        <color theme="1"/>
        <rFont val="Aptos Narrow"/>
        <family val="2"/>
      </rPr>
      <t xml:space="preserve">Use the open-source library matplotlib to visualize the average </t>
    </r>
    <r>
      <rPr>
        <b/>
        <sz val="11"/>
        <color theme="1"/>
        <rFont val="Aptos Narrow"/>
        <family val="2"/>
      </rPr>
      <t>petal_width</t>
    </r>
    <r>
      <rPr>
        <sz val="11"/>
        <color theme="1"/>
        <rFont val="Aptos Narrow"/>
        <family val="2"/>
      </rPr>
      <t xml:space="preserve"> for each species.</t>
    </r>
  </si>
  <si>
    <t>A Series is similar to a DataFrame, except it contains only one data column. Select the card icon in the Series cell to see the content.</t>
  </si>
  <si>
    <r>
      <t xml:space="preserve">Group the flowers by species and return a Series containing the average </t>
    </r>
    <r>
      <rPr>
        <b/>
        <sz val="11"/>
        <color theme="1"/>
        <rFont val="Aptos Narrow"/>
        <family val="2"/>
      </rPr>
      <t>petal_width</t>
    </r>
    <r>
      <rPr>
        <sz val="11"/>
        <color theme="1"/>
        <rFont val="Aptos Narrow"/>
        <family val="2"/>
      </rPr>
      <t xml:space="preserve"> for each species.</t>
    </r>
  </si>
  <si>
    <t>Select the card icon in a DataFrame cell to see a preview of the DataFrame.</t>
  </si>
  <si>
    <r>
      <t xml:space="preserve">Return a description of the DataFrame in cell </t>
    </r>
    <r>
      <rPr>
        <b/>
        <sz val="11"/>
        <color theme="1"/>
        <rFont val="Aptos Narrow"/>
        <family val="2"/>
      </rPr>
      <t>H9</t>
    </r>
    <r>
      <rPr>
        <sz val="11"/>
        <color theme="1"/>
        <rFont val="Aptos Narrow"/>
        <family val="2"/>
      </rPr>
      <t>, including row count, mean, and other data analysis.</t>
    </r>
  </si>
  <si>
    <r>
      <t xml:space="preserve">Enter </t>
    </r>
    <r>
      <rPr>
        <b/>
        <i/>
        <sz val="11"/>
        <color theme="1"/>
        <rFont val="Aptos Narrow"/>
        <family val="2"/>
        <scheme val="minor"/>
      </rPr>
      <t>=PY</t>
    </r>
    <r>
      <rPr>
        <i/>
        <sz val="11"/>
        <color theme="1"/>
        <rFont val="Aptos Narrow"/>
        <family val="2"/>
        <scheme val="minor"/>
      </rPr>
      <t xml:space="preserve"> in a cell and then select </t>
    </r>
    <r>
      <rPr>
        <b/>
        <i/>
        <sz val="11"/>
        <color theme="1"/>
        <rFont val="Aptos Narrow"/>
        <family val="2"/>
        <scheme val="minor"/>
      </rPr>
      <t>PY</t>
    </r>
    <r>
      <rPr>
        <i/>
        <sz val="11"/>
        <color theme="1"/>
        <rFont val="Aptos Narrow"/>
        <family val="2"/>
        <scheme val="minor"/>
      </rPr>
      <t xml:space="preserve"> from the AutoComplete menu to enable Python formulas.</t>
    </r>
  </si>
  <si>
    <t xml:space="preserve">Create a DataFrame with the Iris data set </t>
  </si>
  <si>
    <t>Try it out!</t>
  </si>
  <si>
    <t>Hints</t>
  </si>
  <si>
    <t>Example Python Excel formula</t>
  </si>
  <si>
    <t>Goals</t>
  </si>
  <si>
    <t>species</t>
  </si>
  <si>
    <t>petal_width</t>
  </si>
  <si>
    <t>petal_length</t>
  </si>
  <si>
    <t>sepal_width</t>
  </si>
  <si>
    <t>sepal_length</t>
  </si>
  <si>
    <t>Python in Excel data analysis</t>
  </si>
  <si>
    <t>Iris data set (as Excel table)</t>
  </si>
  <si>
    <t>Use the Iris data set to experiment with Python in Excel data analysis.</t>
  </si>
  <si>
    <t>source</t>
  </si>
  <si>
    <t>url</t>
  </si>
  <si>
    <t>sql</t>
  </si>
  <si>
    <t>python</t>
  </si>
  <si>
    <t>Волгоградская область</t>
  </si>
  <si>
    <t>Малодельский</t>
  </si>
  <si>
    <t>газ (извл.):
C1 - 0,176 млрд м3,
C2 - 0,071 млрд м3</t>
  </si>
  <si>
    <t>Антиповско-Лебяжинский</t>
  </si>
  <si>
    <t>нефть (извл.):
C1 - 0,018 млн т
газ (извл.):
C1 - 0,196 млрд м3</t>
  </si>
  <si>
    <t>Иркутская область</t>
  </si>
  <si>
    <t>Восточно-Ордынский</t>
  </si>
  <si>
    <t>нефть (извл.):
D1 - 0,2 млн т,
D2 - 1,2 млн т
газ (извл.):
D1 - 42,2 млрд м3,
D2 - 11,6 млрд м3
конденсат (извл.):
D1 - 2,5 млн т,
D2 - 0,7 млн т</t>
  </si>
  <si>
    <t>Краснодарский край</t>
  </si>
  <si>
    <t>Кеслеровское</t>
  </si>
  <si>
    <t>нефть (извл.):
A - 7,00 млн т,
D1 - 0,066/0,03 млн т
газ (извл.):
D1 - 0,00475 млрд м3
конденсат (геол./извл.):
D1 - 0,00022/0,00013 млн т</t>
  </si>
  <si>
    <t>Красноярский край</t>
  </si>
  <si>
    <t>Быстрянская площадь</t>
  </si>
  <si>
    <t>газ (извл.):
D2 - 0,330 млрд м3</t>
  </si>
  <si>
    <t>Оренбургская область</t>
  </si>
  <si>
    <t>Соболевский</t>
  </si>
  <si>
    <t>Мраковский</t>
  </si>
  <si>
    <t>нефть (геол./извл.):
D1 - 157,546/45,135 млн т,
D1(D3dm) - 2550,421/76,512 млн т,
D2 - 1,35/0,616 млн т
газ (извл./геол.):
D1 - 6,021/6,021 млрд м3
конденсат (извл./геол.):
D1 - 0,68/0,423 млн т</t>
  </si>
  <si>
    <t>Западно-Мраковский</t>
  </si>
  <si>
    <t>нефть (извл.):
D1 - 7,372 млн т,
D1(D3dm) - 28,9 млн т
газ (извл.):
D1 - 1,304 млрд м3
конденсат (извл.):
D1 - 0,028 млн т</t>
  </si>
  <si>
    <t>Дружный</t>
  </si>
  <si>
    <t>нефть (извл.):
D0 - 2,008 млн т,
D1 - 16,675 млн т,
D1 - 5,969 млн т
газ:
D1 - 1,845 млрд м3,
D1 - 1,704 млрд м3
конденсат:
D1 - 0,336 млн т</t>
  </si>
  <si>
    <t>Владимировский</t>
  </si>
  <si>
    <t>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</t>
  </si>
  <si>
    <t>Пермский край</t>
  </si>
  <si>
    <t>Половодовский</t>
  </si>
  <si>
    <t>нефть (геол./извл.):
D1 - 0,978/0,315 млн т
D1(D3dm) - 83,259/2,498 млн т
газ (геол./извл.):
D1 - 0,039/0,039 млрд м3
конденсат (геол./извл.):
D1 - 0,003/0,001 млн т</t>
  </si>
  <si>
    <t>Вильвенский</t>
  </si>
  <si>
    <t>нефть (геол./извл.):
D1 - 1,778/0,572 млн т
D1(D3dm) - 153,379/4,601 млн т
газ (геол./извл.):
D1 - 0,073/0,073 млрд м3
конденсат (геол./извл.):
D1 - 0,005/0,002 млн т</t>
  </si>
  <si>
    <t>Черноречный</t>
  </si>
  <si>
    <t>Ольховский</t>
  </si>
  <si>
    <t>Малыгинский</t>
  </si>
  <si>
    <t>Сестринский</t>
  </si>
  <si>
    <t>Новоильинский</t>
  </si>
  <si>
    <t>Сурмогский</t>
  </si>
  <si>
    <t>Центрально-Чекурский</t>
  </si>
  <si>
    <t>Республика Дагестан</t>
  </si>
  <si>
    <t>Северо-Юбилейный</t>
  </si>
  <si>
    <t>нефть (извл.)
B1 - 0,102 млн т</t>
  </si>
  <si>
    <t>Республика Калмыкия</t>
  </si>
  <si>
    <t>Моктинский</t>
  </si>
  <si>
    <t>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</t>
  </si>
  <si>
    <t>Республика Коми</t>
  </si>
  <si>
    <t>Нямедский</t>
  </si>
  <si>
    <t>газ (извл.)
C1 - 0,007 млрд м3</t>
  </si>
  <si>
    <t>Эжвадорский</t>
  </si>
  <si>
    <t>газ (извл.)
C1 - 0,414 млрд м3</t>
  </si>
  <si>
    <t>Северо-Седъельский</t>
  </si>
  <si>
    <t>газ (извл.)
C1 - 0,039 млрд м3</t>
  </si>
  <si>
    <t>Кушкоджский</t>
  </si>
  <si>
    <t>газ (извл.)
C1 - 0,090 млрд м3</t>
  </si>
  <si>
    <t>Дорожный</t>
  </si>
  <si>
    <t>нефть (геол./извл.):
C1 - 1,875/0,015 млн т
газ (извл.)
C1 - 0,487 млрд м3</t>
  </si>
  <si>
    <t>Ненецкий автономный округ</t>
  </si>
  <si>
    <t>Шапкинский</t>
  </si>
  <si>
    <t>нефть (геол./извл.):
Dл - 23,920/10,764 млн т
D1 - 1,067/0,345 млн т
D2 - 0,973/0,197 млн т;
газ (геол./извл.):
D1 - 1,63/1,63 млрд м3
D2 - 0,133/0,133 млрд м3
C1 - 3,291/3,291 млрд м3</t>
  </si>
  <si>
    <t>Республика Саха (Якутия)</t>
  </si>
  <si>
    <t>Мунско-Сянский</t>
  </si>
  <si>
    <t>нефть (извл.):
Dл - 785,35 млн т
газ (извл.):
Dл - 67,74 млрд м3</t>
  </si>
  <si>
    <t>Ундюлюнгский</t>
  </si>
  <si>
    <t>газ (извл.):
Dл - 1178,979 млрд м3;
конденсат (извл.):
Dл - 31,12 млн т</t>
  </si>
  <si>
    <t>Жиганский 1</t>
  </si>
  <si>
    <t>нефть (извл.):
Dл - 459 млн т
газ (извл.):
Dл - 376,8 млрд м3</t>
  </si>
  <si>
    <t>Жиганский 2</t>
  </si>
  <si>
    <t>Ямало-Ненецкий автономный округ</t>
  </si>
  <si>
    <t>Тюменская область</t>
  </si>
  <si>
    <t>Карабашский 5-1</t>
  </si>
  <si>
    <t>нефть (геол./извл.):
Dл - 415,154/101,784 млн т,
D1 - 80,741/18,545 млн т,
D2 - 21,24/5,435 млн т;
газ (геол./извл.):
Dл - 50,734/50,734 млрд м3,
D1 - 3,356/3,356 млрд м3,
D2 - 7,025/7,025 млрд м3</t>
  </si>
  <si>
    <t>Карабашский 7-2</t>
  </si>
  <si>
    <t>нефть (геол./извл.):
Dл - 227,723/53,993 млн т,
D1 - 56,421/13,606 млн т,
D2 - 52,753/13,646 млн т;
газ (геол./извл.):
D1 - 1,373/1,373 млрд м3,
D2 - 2,651/2,651 млрд м3</t>
  </si>
  <si>
    <t>Ставропольский край</t>
  </si>
  <si>
    <t>Южно-Серафимовский</t>
  </si>
  <si>
    <t>нефть (геол./извл.):
D1 - 0,058/0,011 млн т;
газ (геол./извл.):
D0 - 1,4 млрд м3
D1 - 0,009/0,009 млрд м3,
C1 - 0,425 млрд м3,
C2 - 0,149 млрд м3,
конденсат (извл.)
C1 - 0,027 млн т,
C2 - 0,011 млн т</t>
  </si>
  <si>
    <t>Кучерлинский</t>
  </si>
  <si>
    <t>газ (извл.)
C1 - 1,0 млрд м3</t>
  </si>
  <si>
    <t>Веселовский</t>
  </si>
  <si>
    <t>газ (извл.)
C1 - 0,563 млрд м3</t>
  </si>
  <si>
    <t>Ставропольский край, Кабардино-Балкарская Республика</t>
  </si>
  <si>
    <t>Моздокский</t>
  </si>
  <si>
    <t>нефть (геол./извл.):
Dл - 4,261/1,811 млн т
D1 - 11,981/5,632 млн т;
D1(Pg3chd+bt2) - 456,1/22,805
C1 - 1,158/0,579 млн т</t>
  </si>
  <si>
    <t>Удмуртская Республика</t>
  </si>
  <si>
    <t>Чекеровский</t>
  </si>
  <si>
    <t>нефть (геол./извл.)
B1 - 0,324/0,058 млн т
D1 - 3,15 млн т</t>
  </si>
  <si>
    <t>Никольский участок</t>
  </si>
  <si>
    <t>нефть (извл.):
D0 - 2,358 млн т</t>
  </si>
  <si>
    <t>Ульяновская область</t>
  </si>
  <si>
    <t>Ханты-Мансийский автономный округ-Югра</t>
  </si>
  <si>
    <t>Карымский</t>
  </si>
  <si>
    <t>нефть (извл.)
Д1 - 1,2 млн.т.
Д2 - 0,3 млн.т.
газ
Д1 - 0,2 млрд.м3
Д2 - 0,4 млрд.м3</t>
  </si>
  <si>
    <t>Кулингурский</t>
  </si>
  <si>
    <t>нефть (извл)
Д1 - 11,0 млн.т.
Д2 - 0,8 млн.т.
газ
Д1 - 1,3 млрд.м3
Д2 - 1,0 млрд.м3</t>
  </si>
  <si>
    <t>Ляминский 20</t>
  </si>
  <si>
    <t>нефть (извл)
Д1 - 14,0 млн.т
Д2 - 2,7 млн. т</t>
  </si>
  <si>
    <t>Малобыстринский</t>
  </si>
  <si>
    <t>нефть (извл)
Д1 - 11,5 млн.т
Д2 - 0,5 млн.т
газ
Д1 - 4,2 млрд.м3
Д2 - 1,3 млрд.м3</t>
  </si>
  <si>
    <t>Малорогожниковский</t>
  </si>
  <si>
    <t>нефть (извл.)
Дп - 2,1 млн.т
Д1 - 2,1 млн.т
Д2 - 0,1 млн.т</t>
  </si>
  <si>
    <t>Моимский 1</t>
  </si>
  <si>
    <t>нефть (извл.):
Д1 - 13,5 млн.т.
Д2 - 0,5 млн.т.
газ (извл.):
Д1 - 0,4 млрд. м3.
Д2 - 0,9 млрд. м3.</t>
  </si>
  <si>
    <t>Моимский 2</t>
  </si>
  <si>
    <t>нефть (извл.):
Д1 - 11,5 млн.т.
Д2 - 0,5 млн.т.
газ (извл.):
Д1 - 0,3 млрд. м3.
Д2 - 0,8 млрд. м3.</t>
  </si>
  <si>
    <t>Панлорский 2</t>
  </si>
  <si>
    <t>нефть (извл)
Д1 - 8,2 млн.т
Д2 - 0,3 млн.т
газ
Д2 - 2,0 млрд.м3</t>
  </si>
  <si>
    <t>Похорский 2</t>
  </si>
  <si>
    <t>нефть (извл)
Д1 - 5,0 млн.т.
Д2 - 0,8 млн.т.
газ
Д1 - 0,7 млрд. м3
Д2 - 1,4 млрд м3</t>
  </si>
  <si>
    <t>Русотовый</t>
  </si>
  <si>
    <t>нефть (извл.)
D0 - 4,125 млн т
Dп - 4,102 млн т
D1 - 1,5 млн т</t>
  </si>
  <si>
    <t>Северо-Ай-Тимский</t>
  </si>
  <si>
    <t>нефть (извл.)
D1 - 18,0 млн т
D2 - 0,4 млн т</t>
  </si>
  <si>
    <t>Северо-Заозерный 1</t>
  </si>
  <si>
    <t>нефть (извл.)
Dл - 0,031 млн т
D1 - 4,4 млн т
D2 - 0,5 млн т
газ
D2 - 0,3 млрд м3</t>
  </si>
  <si>
    <t>Северо-Заозерный 2</t>
  </si>
  <si>
    <t>нефть (извл.)
D1 - 6,4 млн т
D2 - 0,6 млн т
газ
D2 - 0,4 млрд м3</t>
  </si>
  <si>
    <t>Северо-Яхлинский</t>
  </si>
  <si>
    <t>нефть (извл.)
D1 - 2,2 млн т
D2 - 0,2 млн т</t>
  </si>
  <si>
    <t>Северо-Тунгольский</t>
  </si>
  <si>
    <t>нефть (извл.)
Dл - 2,481 млн т
D1 - 10,6 млн т
D2 - 1,2 млн т
газ
D1 - 0,3 млрд м3
D2 - 0,3 млрд м3</t>
  </si>
  <si>
    <t>Сергинский 17</t>
  </si>
  <si>
    <t>нефть (извл.)
D1 - 15,5 млн т
D2 - 0,5 млн т
газ (извл.)
D1 - 0,5 млрд м3
D2 - 1,1 млрд м3</t>
  </si>
  <si>
    <t>Сергинский 18</t>
  </si>
  <si>
    <t>нефть (извл.)
D1 - 17,5 млн т
D2 - 0,6 млн т
газ (извл.)
D1 - 0,5 млрд м3
D2 - 1,2 млрд м3</t>
  </si>
  <si>
    <t>Терпеевский 1</t>
  </si>
  <si>
    <t>нефть (извл.)
D1 - 8,6 млн т
D2 - 0,4 млн т
газ
D1 - 0,3 млрд м3
D2 - 0,6 млрд м3</t>
  </si>
  <si>
    <t>https://rosnedra.gov.ru/activity/informatsionnye-resursy-i-programmy/prognoznyy-perechen-uchastkov-nedr-uglevodorodnogo-syrya-auktsiony-po-kotorym-planiruetsya-provesti-202602/</t>
  </si>
  <si>
    <t>{"gas": {"C1": [0.176, "млрд м3"], "C2": [0.071, "млрд м3"]}}</t>
  </si>
  <si>
    <t>{"oil": {"C1": [0.018, "млн т"]}, "gas": {"C1": [0.196, "млрд м3"]}}</t>
  </si>
  <si>
    <t>{"oil": {"D1": [0.2, "млн т"], "D2": [1.2, "млн т"]}, "gas": {"D1": [42.2, "млрд м3"], "D2": [11.6, "млрд м3"]}, "cond": {"D1": [2.5, "млн т"], "D2": [0.7, "млн т"]}}</t>
  </si>
  <si>
    <t>{"gas": {"D2": [0.33, "млрд м3"]}}</t>
  </si>
  <si>
    <t>{"oil": {"D0": [2.008, "млн т"], "D1": [5.969, "млн т"]}, "gas": {"D1": [1.704, "млрд м3"]}, "cond": {"D1": [0.336, "млн т"]}}</t>
  </si>
  <si>
    <t>нефть (геол./извл.):
C1 - 3,682/0,296 млн т,
D1(D3dm) - 51,27/1,54 млн т</t>
  </si>
  <si>
    <t>{"oil": {"A": [7.0, "млн т"], "D1": [0.066, "млн т"]}, "gas": {"D1": [0.00475, "млрд м3"]}, "cond": {"D1": [0.00022, "млн т"]}}</t>
  </si>
  <si>
    <t>{"oil": {"B1": [0.102, "млн т"]}}</t>
  </si>
  <si>
    <t>{"oil": {"D1": [0.081, "млн т"], "D2": [0.003, "млн т"]}, "gas": {"C1": [0.139, "млрд м3"], "C2": [0.522, "млрд м3"], "D1": [0.777, "млрд м3"], "D2": [0.044, "млрд м3"]}, "cond": {"C1": [0.002, "млн т"], "C2": [0.008, "млн т"], "D1": [0.036, "млн т"]}}</t>
  </si>
  <si>
    <t>{"gas": {"C1": [0.007, "млрд м3"]}}</t>
  </si>
  <si>
    <t>{"gas": {"C1": [0.414, "млрд м3"]}}</t>
  </si>
  <si>
    <t>{"gas": {"C1": [0.039, "млрд м3"]}}</t>
  </si>
  <si>
    <t>{"gas": {"C1": [0.09, "млрд м3"]}}</t>
  </si>
  <si>
    <t>{"oil": {"C1": [1.875, "млн т"]}, "gas": {"C1": [0.487, "млрд м3"]}}</t>
  </si>
  <si>
    <t>{"oil": {"Dл": [23.92, "млн т"], "D1": [1.067, "млн т"], "D2": [0.973, "млн т"]}, "gas": {"D1": [1.63, "млрд м3"], "D2": [0.133, "млрд м3"], "C1": [3.291, "млрд м3"]}}</t>
  </si>
  <si>
    <t>{"oil": {"Dл": [785.35, "млн т"]}, "gas": {"Dл": [67.74, "млрд м3"]}}</t>
  </si>
  <si>
    <t>{"gas": {"Dл": [1178.979, "млрд м3"]}, "cond": {"Dл": [31.12, "млн т"]}}</t>
  </si>
  <si>
    <t>{"oil": {"Dл": [459.0, "млн т"]}, "gas": {"Dл": [376.8, "млрд м3"]}}</t>
  </si>
  <si>
    <t>{"oil": {"Dл": [415.154, "млн т"], "D1": [80.741, "млн т"], "D2": [21.24, "млн т"]}, "gas": {"Dл": [50.734, "млрд м3"], "D1": [3.356, "млрд м3"], "D2": [7.025, "млрд м3"]}}</t>
  </si>
  <si>
    <t>{"oil": {"Dл": [227.723, "млн т"], "D1": [56.421, "млн т"], "D2": [52.753, "млн т"]}, "gas": {"D1": [1.373, "млрд м3"], "D2": [2.651, "млрд м3"]}}</t>
  </si>
  <si>
    <t>{"oil": {"D1": [0.058, "млн т"]}, "gas": {"D0": [1.4, "млрд м3"], "D1": [0.009, "млрд м3"], "C1": [0.425, "млрд м3"], "C2": [0.149, "млрд м3"]}, "cond": {"C1": [0.027, "млн т"], "C2": [0.011, "млн т"]}}</t>
  </si>
  <si>
    <t>{"gas": {"C1": [1.0, "млрд м3"]}}</t>
  </si>
  <si>
    <t>{"gas": {"C1": [0.563, "млрд м3"]}}</t>
  </si>
  <si>
    <t>{"oil": {"Dл": [4.261, "млн т"], "D1": [11.981, "млн т"], "C1": [1.158, "млн т"]}}</t>
  </si>
  <si>
    <t>{"oil": {"B1": [0.324, "млн т"], "D1": [3.15, "млн т"]}}</t>
  </si>
  <si>
    <t>{"oil": {"D0": [2.358, "млн т"]}}</t>
  </si>
  <si>
    <t>{"oil": {"D0": [4.125, "млн т"], "D1": [1.5, "млн т"]}}</t>
  </si>
  <si>
    <t>{"oil": {"D1": [18.0, "млн т"], "D2": [0.4, "млн т"]}}</t>
  </si>
  <si>
    <t>{"oil": {"Dл": [0.031, "млн т"], "D1": [4.4, "млн т"], "D2": [0.5, "млн т"]}, "gas": {"D2": [0.3, "млрд м3"]}}</t>
  </si>
  <si>
    <t>{"oil": {"D1": [6.4, "млн т"], "D2": [0.6, "млн т"]}, "gas": {"D2": [0.4, "млрд м3"]}}</t>
  </si>
  <si>
    <t>{"oil": {"D1": [2.2, "млн т"], "D2": [0.2, "млн т"]}}</t>
  </si>
  <si>
    <t>{"oil": {"Dл": [2.481, "млн т"], "D1": [10.6, "млн т"], "D2": [1.2, "млн т"]}, "gas": {"D1": [0.3, "млрд м3"], "D2": [0.3, "млрд м3"]}}</t>
  </si>
  <si>
    <t>{"oil": {"D1": [15.5, "млн т"], "D2": [0.5, "млн т"]}, "gas": {"D1": [0.5, "млрд м3"], "D2": [1.1, "млрд м3"]}}</t>
  </si>
  <si>
    <t>{"oil": {"D1": [17.5, "млн т"], "D2": [0.6, "млн т"]}, "gas": {"D1": [0.5, "млрд м3"], "D2": [1.2, "млрд м3"]}}</t>
  </si>
  <si>
    <t>{"oil": {"D1": [8.6, "млн т"], "D2": [0.4, "млн т"]}, "gas": {"D1": [0.3, "млрд м3"], "D2": [0.6, "млрд м3"]}}</t>
  </si>
  <si>
    <t>Прогнозный перечень участков недр углеводородного сырья, аукционы по которым планируется провести в 2026 году</t>
  </si>
  <si>
    <t>нефть (геол./извл.):
Dл - 0,109/0,043 млн.т.
D1 - 2,241/0,713 млн.т
D1(D3dm) - 172,442/5,173 млн.т
газ (геол./извл.):
D1 - 0,094/0,094 млрд.м3.
конденсат (геол./извл.):
D1 - 0,006/0,003 млн.т</t>
  </si>
  <si>
    <t>нефть (извл./геол.):
Dл - 0,389/0,119 млн.т
D1 - 3,334/1,315 млн.т
D1(D3dm) - 386,455/11,594 млн.т
газ (извл./геол.):
D1 - 0,097/0,097 млрд.м3;
конденсат (извл./геол.):
D1 - 0,01/0,003 млн.т</t>
  </si>
  <si>
    <t>нефть (извл./геол.):
D1 - 1,78/0,614 млн.т
D1(D3dm) - 151,245/4,537 млн.т.
газ (извл./геол.):
D1 - 0,076/0,076 млрд.м3;
конденсат (извл./геол.):
D1 - 0,005/0,002 млн.т</t>
  </si>
  <si>
    <t>нефть (геол./извл.):
D1 - 2,439/0,748 млн.т,
D1(D3dm)-245,679/7,340 млн.т
газ (геол./извл.):
D1 - 0,015/0,015 млрд. м3</t>
  </si>
  <si>
    <t>Бердышевский</t>
  </si>
  <si>
    <t>нефть (извл.):
D1 - 0,266 млн.т,
D1(D3dm)-2,176 млн.т</t>
  </si>
  <si>
    <t>нефть (извл.):
D1 - 1,4 млн.т</t>
  </si>
  <si>
    <t>нефть (извл.):
D1 - 0,4 млн.т,
D2 - 0,2 млн.т</t>
  </si>
  <si>
    <t>Яйвинский</t>
  </si>
  <si>
    <t>нефть (извл.):
D1 - 0,3 млн.т,
D2 - 0,2 млн.т</t>
  </si>
  <si>
    <t>нефть (извл.):
D1 - 0,4 млн.т,
D2 - 0,3 млн.т</t>
  </si>
  <si>
    <t>Мельничный</t>
  </si>
  <si>
    <t>Восточно-Яринский</t>
  </si>
  <si>
    <t>нефть (извл.):
D1 - 0,2 млн.т,
D2 - 0,1 млн.т</t>
  </si>
  <si>
    <t>Конюшорский</t>
  </si>
  <si>
    <t>нефть (извл.):
D0 - 0,25 млн.т</t>
  </si>
  <si>
    <t>Летовский</t>
  </si>
  <si>
    <t>нефть (извл.):
D0 - 0,138 млн.т</t>
  </si>
  <si>
    <t>Мыльниковский</t>
  </si>
  <si>
    <t>нефть:
D1 - 2,2 млн.т</t>
  </si>
  <si>
    <t>Колыновский</t>
  </si>
  <si>
    <t>Республика Башкортостан</t>
  </si>
  <si>
    <t>Южно-Салаевский</t>
  </si>
  <si>
    <t>нефть (геол./извл.):
Dл - 2,201/0,927 млн.т
D1(D3dm) - 34,453/1,034 млн.т</t>
  </si>
  <si>
    <t>Куязинский</t>
  </si>
  <si>
    <t>нефть (извл./геол.):
D0 - 1,752/0,979 млн.т,
Dл - 2,2/1,229 млн.т,
D1 - 1,649/0,644 млн.т,
D1(D3dm) - 551,115/16,533 млн.т;
газ (извл./геол.):
D2 - 0,113/0,113 млрд.м3</t>
  </si>
  <si>
    <t>Муслюмовский</t>
  </si>
  <si>
    <t>газ
C1 - 1,584 млрд.м3</t>
  </si>
  <si>
    <t>Кармаскалинский</t>
  </si>
  <si>
    <t>Кармышевский</t>
  </si>
  <si>
    <t>Тюр-Седякский</t>
  </si>
  <si>
    <t>нефть (извл.):
D0 - 1,671 млн.т</t>
  </si>
  <si>
    <t>Рассветовский</t>
  </si>
  <si>
    <t>Наказухский</t>
  </si>
  <si>
    <t>нефть (извл.)
B1 - 0.003 млн.т</t>
  </si>
  <si>
    <t>Октябрьский</t>
  </si>
  <si>
    <t>Манасозень</t>
  </si>
  <si>
    <t>газ (извл.)
D1 - 0,5 млрд.м3</t>
  </si>
  <si>
    <t>нефть (извл.):
Dл - 138 млн.т.
газ (извл.):
Dл - 299 млрд.м3</t>
  </si>
  <si>
    <t>Восточно-Линденский</t>
  </si>
  <si>
    <t>газ (извл.):
Dл - 781,5 млрд.м3;
конденсат (извл.):
Dл - 16,9 млн.т.</t>
  </si>
  <si>
    <t>Соболох-Маянский</t>
  </si>
  <si>
    <t>газ (извл.):
Dл - 798,7 млрд.м3;
конденсат (извл.):
Dл - 11,5 млн.т.</t>
  </si>
  <si>
    <t>Усть-Вилюйский</t>
  </si>
  <si>
    <t>газ (извл.):
C1 - 0,762 млрд.м3</t>
  </si>
  <si>
    <t>Самарская область</t>
  </si>
  <si>
    <t>Северо-Иргизский</t>
  </si>
  <si>
    <t>нефть (извл.):
D1 - 5,134 млн.т;
D1(D3dm) - 8,9 млн.т.
газ (извл.):
D1 - 0,604 млрд. м3;
конденсат (извл.):
D1 - 0,01 млн.т</t>
  </si>
  <si>
    <t>Восточно-Каревский</t>
  </si>
  <si>
    <t>нефть
Dл - 11,058 млн.т
D1(D3dm) - 12,96 млн.т</t>
  </si>
  <si>
    <t>Зеленогорский</t>
  </si>
  <si>
    <t>нефть (геол./извл.)
D0 - 4,901/1,934 млн.т.
Dл - 4,876/1,881 млн.т.
D1(D3dm) - 315,904/9,477 млн.т.</t>
  </si>
  <si>
    <t>Саратовская область</t>
  </si>
  <si>
    <t>Гвардейский</t>
  </si>
  <si>
    <t>газ (геол./извл.):
C1 - 0,5/0,5 млрд. м3
C2 - 0,8/0,8 млрд. м3</t>
  </si>
  <si>
    <t>Широко-Карамышский</t>
  </si>
  <si>
    <t>нефть (извл.):
B1 - 0,092 млн.т;
газ (извл.):
A - 0,468 млрд. м3;
B1 - 0,612 млрд. м3</t>
  </si>
  <si>
    <t>Смирновский</t>
  </si>
  <si>
    <t>газ (извл.):
C1 - 0,306 млрд. м3;
C2 - 0,682 млрд. м3</t>
  </si>
  <si>
    <t>Аряшский</t>
  </si>
  <si>
    <t>нефть (извл.):
C1 - 0,025 млн.т;
газ (извл.):
C1 - 0,028 млрд. м3</t>
  </si>
  <si>
    <t>Старокулаткинский участок</t>
  </si>
  <si>
    <t>нефть (геол./извл.):
C1 - 0,531/0,133 млн.т
D0 - 0,964/0,241 млн.т</t>
  </si>
  <si>
    <t>Тарховский</t>
  </si>
  <si>
    <t>нефть (геол./извл.):
A - 0,856/0,056 млн.т
B1 - 1,056/0,257 млн.т
D0 - 0,380/0,091 млн.т
D1 - 2,704/0,891 млн.т
D2 - 13,471/2,021 млн.т</t>
  </si>
  <si>
    <t>Турьяхский</t>
  </si>
  <si>
    <t>нефть (извл.):
D0 - 5,802 млн.т
Dл - 2,032 млн.т
D1 - 3,283 млн.т
D2 - 3,973 млн.т</t>
  </si>
  <si>
    <t>Южно-Чистинный 1</t>
  </si>
  <si>
    <t>нефть (извл.):
D0 - 5,835 млн.т
Dл - 1,291 млн.т
D1 - 7,461 млн.т
D2 - 2,947 млн.т</t>
  </si>
  <si>
    <t>Южно-Чистинный 2</t>
  </si>
  <si>
    <t>нефть (извл.):
D0 - 13,933 млн.т
Dл - 6,826 млн.т
D1 - 6,597 млн.т
D2 - 1,622 млн.т</t>
  </si>
  <si>
    <t>Южно-Чистинный 3</t>
  </si>
  <si>
    <t>нефть (извл.):
D0 - 6,482 млн.т
Dл - 1,438 млн.т
D1 - 4,266 млн.т
D2 - 1,774 млн.т</t>
  </si>
  <si>
    <t>Юильский 1</t>
  </si>
  <si>
    <t>нефть (извл.):
D1 - 4,0 млн.т
D2 - 1,3 млн.т
газ (извл.):
D2 - 1,3 млрд.м3</t>
  </si>
  <si>
    <t>Млечный</t>
  </si>
  <si>
    <t>нефть (геол./извл.):
A - 0,464/0,133 млн.т
B1 - 0,556/0,194 млн.т
B2 - 2,784/0,852 млн.т</t>
  </si>
  <si>
    <t>Северо-Салымский - 3</t>
  </si>
  <si>
    <t>нефть (извл.):
D1 - 0,433 млн.т
D2 - 0,168 млн.т</t>
  </si>
  <si>
    <t>Приразломный-3</t>
  </si>
  <si>
    <t>нефть (извл.)
Д1 - 4,267 млн.т
Д2 - 1,658 млн.т</t>
  </si>
  <si>
    <t>Восточно-Айгульский</t>
  </si>
  <si>
    <t>нефть (извл.)
Д0 - 1,717 млн.т
Д1 - 13,4 млн.т
Д2 - 0,7 млн.т
газ
Д1 - 2,9 млрд.м3
Д2 - 2,7 млрд.м3</t>
  </si>
  <si>
    <t>Восточно-Высотный</t>
  </si>
  <si>
    <t>нефть (извл.)
Д1 - 5,4 млн.т
Д2 - 0,1 млн.т</t>
  </si>
  <si>
    <t>Восточно-Заозерный</t>
  </si>
  <si>
    <t>нефть (извл.)
Д1 - 4,2 млн.т
Д2 - 0,4 млн.т
газ
Д2 - 0,3 млрд.м3</t>
  </si>
  <si>
    <t>Западно-Токушинский</t>
  </si>
  <si>
    <t>нефть (извл.)
Д1 - 0,3 млн.т
Д1 - 0,1 млн.т
Д2 - 0,8 млн.т
газ (извл.)
Д1 - 5,1 млрд.м3
Д2 - 0,6 млрд.м3</t>
  </si>
  <si>
    <t>Восточно-Толумский</t>
  </si>
  <si>
    <t>нефть (извл.)
C1 - 0,156 млн.т
C2 - 0,814 млн.т
D0 - 0,919 млн.т</t>
  </si>
  <si>
    <t>Восточно-Саранпаульский</t>
  </si>
  <si>
    <t>нефть (извл.)
Д1 - 0,74 млн.т
газ
Д2 - 2,05 млрд.м3</t>
  </si>
  <si>
    <t>Казымский</t>
  </si>
  <si>
    <t>нефть (извл.)
Д0 - 14,006 млн.т
Д1 - 2,484 млн.т
Д2 - 17,255 млн.т
газ
Д1 - 0,783 млрд.м3
Д2 - 0,753 млрд.м3
конденсат (извл.)
Д1 - 0,023 млн.т
Д2 - 0,210 млн.т</t>
  </si>
  <si>
    <t>Токушинский</t>
  </si>
  <si>
    <t>нефть (извл.)
Д0 - 8,563 млн.т.
Д1 - 2,3 млн.т.
Д2 - 0,6 млн.т.
газ
Д1 - 2,5 млрд.м3
Д2 - 0,4 млрд.м3</t>
  </si>
  <si>
    <t>Шаймский 3</t>
  </si>
  <si>
    <t>нефть (извл.)
Д0 - 1.127 млн.т.
Д1 - 0.597 млн.т.
Д1 - 0.4 млн.т.
Д2 - 0.2 млн.т.</t>
  </si>
  <si>
    <t>Шебурский</t>
  </si>
  <si>
    <t>нефть (извл.)
Д0 - 1,080 млн.т.
Д1 - 0,5 млн.т.
Д1 - 1,0 млн.т.
Д2 - 0,3 млн.т.
газ
Д1 - 0,3 млрд.м3
Д2 - 0,8 млрд.м3</t>
  </si>
  <si>
    <t>Шугурский</t>
  </si>
  <si>
    <t>нефть (извл.)
Д0 - 0,665 млн.т.
Д1 - 1,2 млн.т.
Д2 - 0,3 млн.т.
газ
Д1 - 0,2 млрд.м3
Д2 - 0,6 млрд.м3</t>
  </si>
  <si>
    <t>Южно-Айтульский</t>
  </si>
  <si>
    <t>нефть (извл.):
Д0 - 3,760 млн.т.
Д1 - 5,786 млн.т.
Д2 - 10,0 млн.т.
Д2 - 0,7 млн.т.
газ (извл.):
Д1 - 5,0 млрд.м3.
Д2 - 3,9 млрд.м3.</t>
  </si>
  <si>
    <t>Южно-Серинский</t>
  </si>
  <si>
    <t>нефть (извл.)
Д1 - 11.5 млн.т.
Д2 - 0.4 млн.т.
газ
Д1 - 0.4 млрд.м3
Д2 - 0.8 млрд.м3</t>
  </si>
  <si>
    <t>Южно-Ташинский</t>
  </si>
  <si>
    <t>нефть (извл.)
Д1 - 11.6 млн.т.
Д2 - 0.6 млн.т.</t>
  </si>
  <si>
    <t>Южно-Урманный</t>
  </si>
  <si>
    <t>нефть (извл.)
Д0 - 1.625 млн.т.
Д1 - 1.4 млн.т
Д2 - 0.1 млн.т</t>
  </si>
  <si>
    <t>Южно-Ялотский</t>
  </si>
  <si>
    <t>нефть (извл.):
Д1 - 16,1 млн. т
Д2 - 0,9 млн. т
газ (изв.):
Д2 - 1,1 млрд. м3</t>
  </si>
  <si>
    <t>Юильский 6</t>
  </si>
  <si>
    <t>нефть (извл.):
Д1 - 1,2 млн. т
Д2 - 3,2 млн. т
газ (извл.):
Д2 - 3,0 млрд. м3</t>
  </si>
  <si>
    <t>Юильский 7</t>
  </si>
  <si>
    <t>нефть (извл)
Д1 - 1,2 млн.т
Д2 - 3,0 млн.т
газ
Д2 - 3,0 млрд.м3</t>
  </si>
  <si>
    <t>Юильский 8</t>
  </si>
  <si>
    <t>нефть (извл)
Д1 - 2,0 млн.т
Д2 - 5.0 млн.т
газ
Д2 - 2,0 млрд.м3</t>
  </si>
  <si>
    <t>Юильский 14</t>
  </si>
  <si>
    <t>нефть (извл)
Д1 - 2,0млн.т
Д2 - 5,0 млн.т
газ
Д2 - 2,0 млрд.м3</t>
  </si>
  <si>
    <t>Юильский 15</t>
  </si>
  <si>
    <t>нефть (извл)
Д1 - 28,0 млн.т.
Д2 -1,4 млн.т.
газ
Д2 2,2 млрд.м3</t>
  </si>
  <si>
    <t>Чувашская Республика</t>
  </si>
  <si>
    <t>Ибресинский</t>
  </si>
  <si>
    <t>нефть (геол./извл.):
D1-0,99/0,168 млн.т
D2 - 1,712/0,357 млн.т;</t>
  </si>
  <si>
    <t>Турмышский</t>
  </si>
  <si>
    <t>нефть (геол./извл.):
D1-1,444/0,245 млн.т
D2 - 2,497/0,520 млн.т;</t>
  </si>
  <si>
    <t>Вынгаяхинский (пласты кровля ПК9/2 – кровля БП11)</t>
  </si>
  <si>
    <t>газ (извл.):
B1 - 0,522 млрд.м3;</t>
  </si>
  <si>
    <t>Верхнехарловский</t>
  </si>
  <si>
    <t>нефть (извл.):
C1 - 0,380 млн.т;
C2 - 7,119 млн.т;
D0 - 8,199 млн.т;
газ(извл.):
C1 - 0,038 млрд.м3;
C2 - 0,767 млрд.м3</t>
  </si>
  <si>
    <t>Апакопурский</t>
  </si>
  <si>
    <t>нефть (извл.):
C1 - 0,644 млн.т
C2 - 1,218 млн.т;
Dл - 0,433 млн.т;</t>
  </si>
  <si>
    <t>Северо-Крещенский</t>
  </si>
  <si>
    <t>нефть (извл.):
D1 - 3,283 млн.т;
газ (извл.):
D1 - 4,801 млрд.м3
конденсат (извл.):
D1 - 0,375 млн.т</t>
  </si>
  <si>
    <t>Западно-Заполярный</t>
  </si>
  <si>
    <t>нефть (извл.):
D0 - 6,200 млн.т;
газ(извл.):
C1 - 3,068 млрд.м3;
D0 - 41,121 млрд.м3</t>
  </si>
  <si>
    <t>{"oil": {"C1": [3.682, "млн т"]}}</t>
  </si>
  <si>
    <t>{"oil": {"D1": [157.546, "млн т"], "D2": [1.35, "млн т"]}, "gas": {"D1": [6.021, "млрд м3"]}, "cond": {"D1": [0.68, "млн т"]}}</t>
  </si>
  <si>
    <t>{"oil": {"D1": [7.372, "млн т"]}, "gas": {"D1": [1.304, "млрд м3"]}, "cond": {"D1": [0.028, "млн т"]}}</t>
  </si>
  <si>
    <t>{"oil": {"D1": [2.029, "млн т"], "D2": [0.557, "млн т"]}, "gas": {"D1": [1.554, "млрд м3"], "D2": [0.173, "млрд м3"]}, "cond": {"D1": [1.075, "млн т"]}}</t>
  </si>
  <si>
    <t>{"oil": {"D1": [0.978, "млн т"]}, "gas": {"D1": [0.039, "млрд м3"]}, "cond": {"D1": [0.003, "млн т"]}}</t>
  </si>
  <si>
    <t>{"oil": {"D1": [1.778, "млн т"]}, "gas": {"D1": [0.073, "млрд м3"]}, "cond": {"D1": [0.005, "млн т"]}}</t>
  </si>
  <si>
    <t>{"oil": {"Dл": [0.109, "млнт"], "D1": [2.241, "млнт"]}, "gas": {"D1": [0.094, "млрдм3"]}, "cond": {"D1": [0.006, "млнт"]}}</t>
  </si>
  <si>
    <t>{"oil": {"Dл": [0.389, "млнт"], "D1": [3.334, "млнт"]}, "gas": {"D1": [0.097, "млрдм3"]}, "cond": {"D1": [0.01, "млнт"]}}</t>
  </si>
  <si>
    <t>{"oil": {"D1": [1.78, "млнт"]}, "gas": {"D1": [0.076, "млрдм3"]}, "cond": {"D1": [0.005, "млнт"]}}</t>
  </si>
  <si>
    <t>{"oil": {"D1": [2.439, "млнт"]}, "gas": {"D1": [0.015, "млрд м3"]}}</t>
  </si>
  <si>
    <t>{"oil": {"D1": [0.266, "млнт"]}}</t>
  </si>
  <si>
    <t>{"oil": {"D1": [1.4, "млнт"]}}</t>
  </si>
  <si>
    <t>{"oil": {"D1": [0.4, "млнт"], "D2": [0.2, "млнт"]}}</t>
  </si>
  <si>
    <t>{"oil": {"D1": [0.3, "млнт"], "D2": [0.2, "млнт"]}}</t>
  </si>
  <si>
    <t>{"oil": {"D1": [0.4, "млнт"], "D2": [0.3, "млнт"]}}</t>
  </si>
  <si>
    <t>{"oil": {"D1": [0.2, "млнт"], "D2": [0.1, "млнт"]}}</t>
  </si>
  <si>
    <t>{"oil": {"D0": [0.25, "млнт"]}}</t>
  </si>
  <si>
    <t>{"oil": {"D0": [0.138, "млнт"]}}</t>
  </si>
  <si>
    <t>{"oil": {"D1": [2.2, "млнт"]}}</t>
  </si>
  <si>
    <t>{"oil": {"Dл": [2.201, "млнт"]}}</t>
  </si>
  <si>
    <t>{"oil": {"D0": [1.752, "млнт"], "Dл": [2.2, "млнт"], "D1": [1.649, "млнт"]}, "gas": {"D2": [0.113, "млрдм3"]}}</t>
  </si>
  <si>
    <t>{"gas": {"C1": [1.584, "млрдм3"]}}</t>
  </si>
  <si>
    <t>{"oil": {"D0": [1.671, "млнт"]}}</t>
  </si>
  <si>
    <t>{"oil": {"B1": [0.003, "млнт"]}}</t>
  </si>
  <si>
    <t>{"gas": {"D1": [0.5, "млрдм3"]}}</t>
  </si>
  <si>
    <t>{"oil": {"Dл": [138.0, "млнт"]}, "gas": {"Dл": [299.0, "млрдм3"]}}</t>
  </si>
  <si>
    <t>{"gas": {"Dл": [781.5, "млрдм3"]}, "cond": {"Dл": [16.9, "млнт"]}}</t>
  </si>
  <si>
    <t>{"gas": {"Dл": [798.7, "млрдм3"]}, "cond": {"Dл": [11.5, "млнт"]}}</t>
  </si>
  <si>
    <t>{"gas": {"C1": [0.762, "млрдм3"]}}</t>
  </si>
  <si>
    <t>{"oil": {"D1": [5.134, "млнт"]}, "gas": {"D1": [0.604, "млрд м3"]}, "cond": {"D1": [0.01, "млнт"]}}</t>
  </si>
  <si>
    <t>{"oil": {"Dл": [11.058, "млнт"]}}</t>
  </si>
  <si>
    <t>{"oil": {"D0": [4.901, "млнт"], "Dл": [4.876, "млнт"]}}</t>
  </si>
  <si>
    <t>{"gas": {"C1": [0.5, "млрд м3"], "C2": [0.8, "млрд м3"]}}</t>
  </si>
  <si>
    <t>{"oil": {"B1": [0.092, "млнт"]}, "gas": {"A": [0.468, "млрд м3"], "B1": [0.612, "млрд м3"]}}</t>
  </si>
  <si>
    <t>{"gas": {"C1": [0.306, "млрд м3"], "C2": [0.682, "млрд м3"]}}</t>
  </si>
  <si>
    <t>{"oil": {"C1": [0.025, "млнт"]}, "gas": {"C1": [0.028, "млрд м3"]}}</t>
  </si>
  <si>
    <t>{"oil": {"C1": [0.531, "млнт"], "D0": [0.964, "млнт"]}}</t>
  </si>
  <si>
    <t>{"oil": {"A": [0.856, "млнт"], "B1": [1.056, "млнт"], "D0": [0.38, "млнт"], "D1": [2.704, "млнт"], "D2": [13.471, "млнт"]}}</t>
  </si>
  <si>
    <t>{"oil": {"D0": [5.802, "млнт"], "Dл": [2.032, "млнт"], "D1": [3.283, "млнт"], "D2": [3.973, "млнт"]}}</t>
  </si>
  <si>
    <t>{"oil": {"D0": [5.835, "млнт"], "Dл": [1.291, "млнт"], "D1": [7.461, "млнт"], "D2": [2.947, "млнт"]}}</t>
  </si>
  <si>
    <t>{"oil": {"D0": [13.933, "млнт"], "Dл": [6.826, "млнт"], "D1": [6.597, "млнт"], "D2": [1.622, "млнт"]}}</t>
  </si>
  <si>
    <t>{"oil": {"D0": [6.482, "млнт"], "Dл": [1.438, "млнт"], "D1": [4.266, "млнт"], "D2": [1.774, "млнт"]}}</t>
  </si>
  <si>
    <t>{"oil": {"D1": [4.0, "млнт"], "D2": [1.3, "млнт"]}, "gas": {"D2": [1.3, "млрдм3"]}}</t>
  </si>
  <si>
    <t>{"oil": {"A": [0.464, "млнт"], "B1": [0.556, "млнт"], "B2": [2.784, "млнт"]}}</t>
  </si>
  <si>
    <t>{"oil": {"D1": [0.433, "млнт"], "D2": [0.168, "млнт"]}}</t>
  </si>
  <si>
    <t>{"oil": {"D1": [4.267, "млнт"], "D2": [1.658, "млнт"]}}</t>
  </si>
  <si>
    <t>{"oil": {"D0": [1.717, "млнт"], "D1": [13.4, "млнт"], "D2": [0.7, "млнт"]}, "gas": {"D1": [2.9, "млрдм3"], "D2": [2.7, "млрдм3"]}}</t>
  </si>
  <si>
    <t>{"oil": {"D1": [5.4, "млнт"], "D2": [0.1, "млнт"]}}</t>
  </si>
  <si>
    <t>{"oil": {"D1": [4.2, "млнт"], "D2": [0.4, "млнт"]}, "gas": {"D2": [0.3, "млрдм3"]}}</t>
  </si>
  <si>
    <t>{"oil": {"D1": [0.1, "млнт"], "D2": [0.8, "млнт"]}, "gas": {"D1": [5.1, "млрдм3"], "D2": [0.6, "млрдм3"]}}</t>
  </si>
  <si>
    <t>{"oil": {"C1": [0.156, "млнт"], "C2": [0.814, "млнт"], "D0": [0.919, "млнт"]}}</t>
  </si>
  <si>
    <t>{"oil": {"D1": [0.74, "млнт"]}, "gas": {"D2": [2.05, "млрдм3"]}}</t>
  </si>
  <si>
    <t>{"oil": {"D0": [14.006, "млнт"], "D1": [2.484, "млнт"], "D2": [17.255, "млнт"]}, "gas": {"D1": [0.783, "млрдм3"], "D2": [0.753, "млрдм3"]}, "cond": {"D1": [0.023, "млнт"], "D2": [0.21, "млнт"]}}</t>
  </si>
  <si>
    <t>{"oil": {"D1": [1.2, "млнт"], "D2": [0.3, "млнт"]}, "gas": {"D1": [0.2, "млрдм3"], "D2": [0.4, "млрдм3"]}}</t>
  </si>
  <si>
    <t>{"oil": {"D1": [11.0, "млнт"], "D2": [0.8, "млнт"]}, "gas": {"D1": [1.3, "млрдм3"], "D2": [1.0, "млрдм3"]}}</t>
  </si>
  <si>
    <t>{"oil": {"D1": [14.0, "млнт"], "D2": [2.7, "млн т"]}}</t>
  </si>
  <si>
    <t>{"oil": {"D1": [11.5, "млнт"], "D2": [0.5, "млнт"]}, "gas": {"D1": [4.2, "млрдм3"], "D2": [1.3, "млрдм3"]}}</t>
  </si>
  <si>
    <t>{"oil": {"D1": [2.1, "млнт"], "D2": [0.1, "млнт"]}}</t>
  </si>
  <si>
    <t>{"oil": {"D1": [13.5, "млнт"], "D2": [0.5, "млнт"]}, "gas": {"D1": [0.4, "млрд м3"], "D2": [0.9, "млрд м3"]}}</t>
  </si>
  <si>
    <t>{"oil": {"D1": [11.5, "млнт"], "D2": [0.5, "млнт"]}, "gas": {"D1": [0.3, "млрд м3"], "D2": [0.8, "млрд м3"]}}</t>
  </si>
  <si>
    <t>{"oil": {"D1": [8.2, "млнт"], "D2": [0.3, "млнт"]}, "gas": {"D2": [2.0, "млрдм3"]}}</t>
  </si>
  <si>
    <t>{"oil": {"D1": [5.0, "млнт"], "D2": [0.8, "млнт"]}, "gas": {"D1": [0.7, "млрд м3"], "D2": [1.4, "млрд м3"]}}</t>
  </si>
  <si>
    <t>{"oil": {"D0": [8.563, "млнт"], "D1": [2.3, "млнт"], "D2": [0.6, "млнт"]}, "gas": {"D1": [2.5, "млрдм3"], "D2": [0.4, "млрдм3"]}}</t>
  </si>
  <si>
    <t>{"oil": {"D0": [1.127, "млнт"], "D1": [0.4, "млнт"], "D2": [0.2, "млнт"]}}</t>
  </si>
  <si>
    <t>{"oil": {"D0": [1.08, "млнт"], "D1": [1.0, "млнт"], "D2": [0.3, "млнт"]}, "gas": {"D1": [0.3, "млрдм3"], "D2": [0.8, "млрдм3"]}}</t>
  </si>
  <si>
    <t>{"oil": {"D0": [0.665, "млнт"], "D1": [1.2, "млнт"], "D2": [0.3, "млнт"]}, "gas": {"D1": [0.2, "млрдм3"], "D2": [0.6, "млрдм3"]}}</t>
  </si>
  <si>
    <t>{"oil": {"D0": [3.76, "млнт"], "D1": [5.786, "млнт"], "D2": [0.7, "млнт"]}, "gas": {"D1": [5.0, "млрдм3"], "D2": [3.9, "млрдм3"]}}</t>
  </si>
  <si>
    <t>{"oil": {"D1": [11.5, "млнт"], "D2": [0.4, "млнт"]}, "gas": {"D1": [0.4, "млрдм3"], "D2": [0.8, "млрдм3"]}}</t>
  </si>
  <si>
    <t>{"oil": {"D1": [11.6, "млнт"], "D2": [0.6, "млнт"]}}</t>
  </si>
  <si>
    <t>{"oil": {"D0": [1.625, "млнт"], "D1": [1.4, "млнт"], "D2": [0.1, "млнт"]}}</t>
  </si>
  <si>
    <t>{"oil": {"D1": [16.1, "млн т"], "D2": [0.9, "млн т"]}, "gas": {"D2": [1.1, "млрд м3"]}}</t>
  </si>
  <si>
    <t>{"oil": {"D1": [1.2, "млн т"], "D2": [3.2, "млн т"]}, "gas": {"D2": [3.0, "млрд м3"]}}</t>
  </si>
  <si>
    <t>{"oil": {"D1": [1.2, "млнт"], "D2": [3.0, "млнт"]}, "gas": {"D2": [3.0, "млрдм3"]}}</t>
  </si>
  <si>
    <t>{"oil": {"D1": [2.0, "млнт"], "D2": [5.0, "млнт"]}, "gas": {"D2": [2.0, "млрдм3"]}}</t>
  </si>
  <si>
    <t>{"oil": {"D1": [28.0, "млнт"], "D2": [1.4, "млнт"]}, "gas": {"D2": [2.2, "млрдм3"]}}</t>
  </si>
  <si>
    <t>{"oil": {"D1": [0.99, "млнт"], "D2": [1.712, "млнт"]}}</t>
  </si>
  <si>
    <t>{"oil": {"D1": [1.444, "млнт"], "D2": [2.497, "млнт"]}}</t>
  </si>
  <si>
    <t>{"gas": {"B1": [0.522, "млрдм3"]}}</t>
  </si>
  <si>
    <t>{"oil": {"C1": [0.38, "млнт"], "C2": [7.119, "млнт"], "D0": [8.199, "млнт"]}, "gas": {"C1": [0.038, "млрдм3"], "C2": [0.767, "млрдм3"]}}</t>
  </si>
  <si>
    <t>{"oil": {"C1": [0.644, "млнт"], "C2": [1.218, "млнт"], "Dл": [0.433, "млнт"]}}</t>
  </si>
  <si>
    <t>{"oil": {"D1": [3.283, "млнт"]}, "gas": {"D1": [4.801, "млрдм3"]}, "cond": {"D1": [0.375, "млнт"]}}</t>
  </si>
  <si>
    <t>{"oil": {"D0": [6.2, "млнт"]}, "gas": {"C1": [3.068, "млрдм3"], "D0": [41.121, "млрдм3"]}}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</si>
</sst>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"/>
    </font>
    <font>
      <sz val="11"/>
      <name val="Times New Roman"/>
    </font>
    <font>
      <sz val="9"/>
      <name val="Times New Roman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6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8"/>
      <name val="Aptos Narrow"/>
      <family val="2"/>
      <scheme val="minor"/>
    </font>
    <font>
      <b/>
      <sz val="11"/>
      <name val="Aptos Narrow"/>
      <family val="2"/>
      <scheme val="minor"/>
    </font>
    <font>
      <sz val="18"/>
      <name val="Aptos Narrow"/>
      <family val="2"/>
      <scheme val="minor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/>
      <bottom style="thin">
        <color theme="6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5">
    <xf numFmtId="0" fontId="0" fillId="0" borderId="0"/>
    <xf numFmtId="0" fontId="3" fillId="0" borderId="0"/>
    <xf numFmtId="0" fontId="10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center" vertical="center"/>
    </xf>
    <xf numFmtId="0" fontId="3" fillId="0" borderId="0" xfId="1"/>
    <xf numFmtId="0" fontId="9" fillId="2" borderId="11" xfId="1" applyFont="1" applyFill="1" applyBorder="1"/>
    <xf numFmtId="0" fontId="9" fillId="2" borderId="12" xfId="1" applyFont="1" applyFill="1" applyBorder="1"/>
    <xf numFmtId="0" fontId="9" fillId="2" borderId="13" xfId="1" applyFont="1" applyFill="1" applyBorder="1"/>
    <xf numFmtId="0" fontId="3" fillId="0" borderId="0" xfId="1" applyAlignment="1">
      <alignment horizontal="center"/>
    </xf>
    <xf numFmtId="0" fontId="13" fillId="0" borderId="0" xfId="3" applyFont="1" applyAlignment="1"/>
    <xf numFmtId="0" fontId="14" fillId="0" borderId="0" xfId="3" applyFont="1" applyAlignment="1"/>
    <xf numFmtId="0" fontId="0" fillId="0" borderId="15" xfId="0" applyBorder="1" applyAlignment="1">
      <alignment horizontal="center" vertical="center"/>
    </xf>
    <xf numFmtId="0" fontId="16" fillId="0" borderId="0" xfId="4"/>
    <xf numFmtId="0" fontId="0" fillId="0" borderId="16" xfId="0" applyBorder="1" applyAlignment="1">
      <alignment horizontal="center" vertical="center"/>
    </xf>
    <xf numFmtId="0" fontId="3" fillId="0" borderId="8" xfId="1" applyBorder="1" applyAlignment="1">
      <alignment horizontal="left"/>
    </xf>
    <xf numFmtId="0" fontId="3" fillId="0" borderId="8" xfId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3" fillId="0" borderId="10" xfId="1" applyBorder="1" applyAlignment="1">
      <alignment horizontal="left"/>
    </xf>
    <xf numFmtId="0" fontId="3" fillId="0" borderId="9" xfId="1" applyBorder="1" applyAlignment="1">
      <alignment horizontal="left"/>
    </xf>
    <xf numFmtId="0" fontId="3" fillId="0" borderId="7" xfId="1" applyBorder="1" applyAlignment="1">
      <alignment horizontal="left"/>
    </xf>
    <xf numFmtId="0" fontId="3" fillId="0" borderId="8" xfId="1" applyBorder="1" applyAlignment="1">
      <alignment horizontal="center"/>
    </xf>
    <xf numFmtId="0" fontId="6" fillId="0" borderId="8" xfId="1" applyFont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15" fillId="0" borderId="0" xfId="3" applyFont="1" applyBorder="1" applyAlignment="1">
      <alignment horizontal="left"/>
    </xf>
    <xf numFmtId="0" fontId="3" fillId="0" borderId="0" xfId="1" applyAlignment="1">
      <alignment horizontal="left" wrapText="1"/>
    </xf>
    <xf numFmtId="0" fontId="11" fillId="0" borderId="14" xfId="2" applyFont="1" applyBorder="1" applyAlignment="1">
      <alignment horizontal="left"/>
    </xf>
    <xf numFmtId="0" fontId="0" fillId="0" borderId="0" xfId="0" applyAlignment="1">
      <alignment vertical="top" wrapText="1"/>
    </xf>
  </cellXfs>
  <cellStyles count="5">
    <cellStyle name="Heading 2 2" xfId="2"/>
    <cellStyle name="Normal 2" xfId="1"/>
    <cellStyle name="Title 2" xfId="3"/>
    <cellStyle name="Гиперссылка" xfId="4" builtinId="8"/>
    <cellStyle name="Обычный" xfId="0" builtinId="0"/>
  </cellStyles>
  <dxfs count="7"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14" Type="http://schemas.microsoft.com/office/2022/10/relationships/richValueRel" Target="richData/richValueRel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2" c="6">
    <v t="s"/>
    <v t="s">sepal_length</v>
    <v t="s">sepal_width</v>
    <v t="s">petal_length</v>
    <v t="s">petal_width</v>
    <v t="s">species</v>
    <v>0</v>
    <v>5.0999999999999996</v>
    <v>3.5</v>
    <v>1.4</v>
    <v>0.2</v>
    <v t="s">setosa</v>
    <v>1</v>
    <v>4.9000000000000004</v>
    <v>3</v>
    <v>1.4</v>
    <v>0.2</v>
    <v t="s">setosa</v>
    <v>2</v>
    <v>4.7</v>
    <v>3.2</v>
    <v>1.3</v>
    <v>0.2</v>
    <v t="s">setosa</v>
    <v>3</v>
    <v>4.5999999999999996</v>
    <v>3.1</v>
    <v>1.5</v>
    <v>0.2</v>
    <v t="s">setosa</v>
    <v>4</v>
    <v>5</v>
    <v>3.6</v>
    <v>1.4</v>
    <v>0.2</v>
    <v t="s">setosa</v>
    <v t="s">...</v>
    <v t="s">...</v>
    <v t="s">...</v>
    <v t="s">...</v>
    <v t="s">...</v>
    <v t="s">...</v>
    <v>145</v>
    <v>6.7</v>
    <v>3</v>
    <v>5.2</v>
    <v>2.2999999999999998</v>
    <v t="s">virginica</v>
    <v>146</v>
    <v>6.3</v>
    <v>2.5</v>
    <v>5</v>
    <v>1.9</v>
    <v t="s">virginica</v>
    <v>147</v>
    <v>6.5</v>
    <v>3</v>
    <v>5.2</v>
    <v>2</v>
    <v t="s">virginica</v>
    <v>148</v>
    <v>6.2</v>
    <v>3.4</v>
    <v>5.4</v>
    <v>2.2999999999999998</v>
    <v t="s">virginica</v>
    <v>149</v>
    <v>5.9</v>
    <v>3</v>
    <v>5.0999999999999996</v>
    <v>1.8</v>
    <v t="s">virginica</v>
  </a>
  <a r="9" c="5">
    <v t="s"/>
    <v t="s">sepal_length</v>
    <v t="s">sepal_width</v>
    <v t="s">petal_length</v>
    <v t="s">petal_width</v>
    <v t="s">count</v>
    <v>150</v>
    <v>150</v>
    <v>150</v>
    <v>150</v>
    <v t="s">mean</v>
    <v>5.8433333333333337</v>
    <v>3.0540000000000003</v>
    <v>3.7586666666666662</v>
    <v>1.1986666666666668</v>
    <v t="s">std</v>
    <v>0.82806612797786294</v>
    <v>0.43359431136217369</v>
    <v>1.7644204199522617</v>
    <v>0.76316074170084136</v>
    <v t="s">min</v>
    <v>4.3</v>
    <v>2</v>
    <v>1</v>
    <v>0.1</v>
    <v t="s">25%</v>
    <v>5.0999999999999996</v>
    <v>2.8</v>
    <v>1.6</v>
    <v>0.3</v>
    <v t="s">50%</v>
    <v>5.8</v>
    <v>3</v>
    <v>4.3499999999999996</v>
    <v>1.3</v>
    <v t="s">75%</v>
    <v>6.4</v>
    <v>3.3</v>
    <v>5.0999999999999996</v>
    <v>1.8</v>
    <v t="s">max</v>
    <v>7.9</v>
    <v>4.4000000000000004</v>
    <v>6.9</v>
    <v>2.5</v>
  </a>
  <a r="4" c="2">
    <v t="s">species</v>
    <v t="s">petal_width</v>
    <v t="s">setosa</v>
    <v>0.24400000000000002</v>
    <v t="s">versicolor</v>
    <v>1.3259999999999998</v>
    <v t="s">virginica</v>
    <v>2.0259999999999998</v>
  </a>
</arrayData>
</file>

<file path=xl/richData/rdrichvalue.xml><?xml version="1.0" encoding="utf-8"?>
<rvData xmlns="http://schemas.microsoft.com/office/spreadsheetml/2017/richdata" count="119">
  <rv s="0">
    <v>0</v>
  </rv>
  <rv s="1">
    <v>DataFrame</v>
    <v>1</v>
    <v>0</v>
  </rv>
  <rv s="2">
    <v>&lt;class 'pandas.core.frame.DataFrame'&gt;</v>
    <v>DataFrame</v>
    <v xml:space="preserve">     sepal_length  sepal_width  petal_length  petal_width    species
0             5.1          3.5           1.4          0.2     setosa
1             4.9          3.0           1.4          0.2     setosa
2             4.7          3.2           1.3 ...</v>
    <v>1</v>
    <v>2</v>
  </rv>
  <rv s="0">
    <v>1</v>
  </rv>
  <rv s="1">
    <v>DataFrame</v>
    <v>4</v>
    <v>3</v>
  </rv>
  <rv s="2">
    <v>&lt;class 'pandas.core.frame.DataFrame'&gt;</v>
    <v>DataFrame</v>
    <v xml:space="preserve">       sepal_length  sepal_width  petal_length  petal_width
count    150.000000   150.000000    150.000000   150.000000
mean       5.843333     3.054000      3.758667     1.198667
std        0.828066     0.433594      1.764420     0.763161
min        4...</v>
    <v>4</v>
    <v>2</v>
  </rv>
  <rv s="0">
    <v>2</v>
  </rv>
  <rv s="1">
    <v>Series</v>
    <v>6</v>
    <v>6</v>
  </rv>
  <rv s="2">
    <v>&lt;class 'pandas.core.series.Series'&gt;</v>
    <v>Series</v>
    <v>species
setosa        0.244
versicolor    1.326
virginica     2.026
Name: petal_width, dtype: float64</v>
    <v>7</v>
    <v>2</v>
  </rv>
  <rv s="3">
    <v>0</v>
    <v>9</v>
    <v>Image generated by Python</v>
  </rv>
  <rv s="3">
    <v>1</v>
    <v>9</v>
    <v>Image generated by Python</v>
  </rv>
  <rv s="4">
    <fb t="s">{"gas": {"C1": [0.176, "млрд м3"], "C2": [0.071, "млрд м3"]}}</fb>
    <v>&lt;class 'str'&gt;</v>
    <v>str</v>
    <v>{"gas": {"C1": [0.176, "млрд м3"], "C2": [0.071, "млрд м3"]}}</v>
    <v>{"gas": {"C1": [0.176, "млрд м3"], "C2": [0.071, "млрд м3"]}}</v>
    <v>2</v>
  </rv>
  <rv s="4">
    <fb t="s">{"oil": {"C1": [0.018, "млн т"]}, "gas": {"C1": [0.196, "млрд м3"]}}</fb>
    <v>&lt;class 'str'&gt;</v>
    <v>str</v>
    <v>{"oil": {"C1": [0.018, "млн т"]}, "gas": {"C1": [0.196, "млрд м3"]}}</v>
    <v>{"oil": {"C1": [0.018, "млн т"]}, "gas": {"C1": [0.196, "млрд м3"]}}</v>
    <v>2</v>
  </rv>
  <rv s="4">
    <fb t="s">{"oil": {"D1": [0.2, "млн т"], "D2": [1.2, "млн т"]}, "gas": {"D1": [42.2, "млрд м3"], "D2": [11.6, "млрд м3"]}, "cond": {"D1": [2.5, "млн т"], "D2": [0.7, "млн т"]}}</fb>
    <v>&lt;class 'str'&gt;</v>
    <v>str</v>
    <v>{"oil": {"D1": [0.2, "млн т"], "D2": [1.2, "млн т"]}, "gas": {"D1": [42.2, "млрд м3"], "D2": [11.6, "млрд м3"]}, "cond": {"D1": [2.5, "млн т"], "D2": [0.7, "млн т"]}}</v>
    <v>{"oil": {"D1": [0.2, "млн т"], "D2": [1.2, "млн т"]}, "gas": {"D1": [42.2, "млрд м3"], "D2": [11.6, "млрд м3"]}, "cond": {"D1": [2.5, "млн т"], "D2": [0.7, "млн т"]}}</v>
    <v>2</v>
  </rv>
  <rv s="4">
    <fb t="s">{"oil": {"A": [7.0, "млн т"], "D1": [0.0, "66"]}, "gas": {"D1": [0.00475, "млрд м3"]}, "cond": {"D1": [0.0, "22"]}}</fb>
    <v>&lt;class 'str'&gt;</v>
    <v>str</v>
    <v>{"oil": {"A": [7.0, "млн т"], "D1": [0.0, "66"]}, "gas": {"D1": [0.00475, "млрд м3"]}, "cond": {"D1": [0.0, "22"]}}</v>
    <v>{"oil": {"A": [7.0, "млн т"], "D1": [0.0, "66"]}, "gas": {"D1": [0.00475, "млрд м3"]}, "cond": {"D1": [0.0, "22"]}}</v>
    <v>2</v>
  </rv>
  <rv s="4">
    <fb t="s">{"gas": {"D2": [0.33, "млрд м3"]}}</fb>
    <v>&lt;class 'str'&gt;</v>
    <v>str</v>
    <v>{"gas": {"D2": [0.33, "млрд м3"]}}</v>
    <v>{"gas": {"D2": [0.33, "млрд м3"]}}</v>
    <v>2</v>
  </rv>
  <rv s="4">
    <fb t="s">null</fb>
    <v>&lt;class 'str'&gt;</v>
    <v>str</v>
    <v>null</v>
    <v>null</v>
    <v>2</v>
  </rv>
  <rv s="4">
    <fb t="s">{"oil": {"D1": [157.5, "46"], "D2": [1.0, "35"]}, "gas": {"D1": [6.0, "21"]}, "cond": {"D1": [0.0, "68"]}}</fb>
    <v>&lt;class 'str'&gt;</v>
    <v>str</v>
    <v>{"oil": {"D1": [157.5, "46"], "D2": [1.0, "35"]}, "gas": {"D1": [6.0, "21"]}, "cond": {"D1": [0.0, "68"]}}</v>
    <v>{"oil": {"D1": [157.5, "46"], "D2": [1.0, "35"]}, "gas": {"D1": [6.0, "21"]}, "cond": {"D1": [0.0, "68"]}}</v>
    <v>2</v>
  </rv>
  <rv s="4">
    <fb t="s">{"oil": {"D1": [7.372, "млн т"]}, "gas": {"D1": [1.304, "млрд м3"]}, "cond": {"D1": [0.028, "млн т"]}}</fb>
    <v>&lt;class 'str'&gt;</v>
    <v>str</v>
    <v>{"oil": {"D1": [7.372, "млн т"]}, "gas": {"D1": [1.304, "млрд м3"]}, "cond": {"D1": [0.028, "млн т"]}}</v>
    <v>{"oil": {"D1": [7.372, "млн т"]}, "gas": {"D1": [1.304, "млрд м3"]}, "cond": {"D1": [0.028, "млн т"]}}</v>
    <v>2</v>
  </rv>
  <rv s="4">
    <fb t="s">{"oil": {"D0": [2.008, "млн т"], "D1": [5.969, "млн т"]}, "gas": {"D1": [1.704, "млрд м3"]}, "cond": {"D1": [0.336, "млн т"]}}</fb>
    <v>&lt;class 'str'&gt;</v>
    <v>str</v>
    <v>{"oil": {"D0": [2.008, "млн т"], "D1": [5.969, "млн т"]}, "gas": {"D1": [1.704, "млрд м3"]}, "cond": {"D1": [0.336, "млн т"]}}</v>
    <v>{"oil": {"D0": [2.008, "млн т"], "D1": [5.969, "млн т"]}, "gas": {"D1": [1.704, "млрд м3"]}, "cond": {"D1": [0.336, "млн т"]}}</v>
    <v>2</v>
  </rv>
  <rv s="4">
    <fb t="s">{"oil": {"D1": [2.0, "29"], "D2": [0.5, "57"]}, "gas": {"D1": [1.5, "54"], "D2": [0.1, "73"]}, "cond": {"D1": [1.0, "75"]}}</fb>
    <v>&lt;class 'str'&gt;</v>
    <v>str</v>
    <v>{"oil": {"D1": [2.0, "29"], "D2": [0.5, "57"]}, "gas": {"D1": [1.5, "54"], "D2": [0.1, "73"]}, "cond": {"D1": [1.0, "75"]}}</v>
    <v>{"oil": {"D1": [2.0, "29"], "D2": [0.5, "57"]}, "gas": {"D1": [1.5, "54"], "D2": [0.1, "73"]}, "cond": {"D1": [1.0, "75"]}}</v>
    <v>2</v>
  </rv>
  <rv s="4">
    <fb t="s">{"oil": {"D1": [0.9, "78"]}, "gas": {"D1": [0.0, "39"]}, "cond": {"D1": [0.0, "03"]}}</fb>
    <v>&lt;class 'str'&gt;</v>
    <v>str</v>
    <v>{"oil": {"D1": [0.9, "78"]}, "gas": {"D1": [0.0, "39"]}, "cond": {"D1": [0.0, "03"]}}</v>
    <v>{"oil": {"D1": [0.9, "78"]}, "gas": {"D1": [0.0, "39"]}, "cond": {"D1": [0.0, "03"]}}</v>
    <v>2</v>
  </rv>
  <rv s="4">
    <fb t="s">{"oil": {"D1": [1.7, "78"]}, "gas": {"D1": [0.0, "73"]}, "cond": {"D1": [0.0, "05"]}}</fb>
    <v>&lt;class 'str'&gt;</v>
    <v>str</v>
    <v>{"oil": {"D1": [1.7, "78"]}, "gas": {"D1": [0.0, "73"]}, "cond": {"D1": [0.0, "05"]}}</v>
    <v>{"oil": {"D1": [1.7, "78"]}, "gas": {"D1": [0.0, "73"]}, "cond": {"D1": [0.0, "05"]}}</v>
    <v>2</v>
  </rv>
  <rv s="4">
    <fb t="s">{"oil": {"D1": [2.1, "45"]}, "gas": {"D1": [0.0, "88"]}, "cond": {"D1": [0.0, "06"]}}</fb>
    <v>&lt;class 'str'&gt;</v>
    <v>str</v>
    <v>{"oil": {"D1": [2.1, "45"]}, "gas": {"D1": [0.0, "88"]}, "cond": {"D1": [0.0, "06"]}}</v>
    <v>{"oil": {"D1": [2.1, "45"]}, "gas": {"D1": [0.0, "88"]}, "cond": {"D1": [0.0, "06"]}}</v>
    <v>2</v>
  </rv>
  <rv s="4">
    <fb t="s">{"oil": {"D1": [0.8, "64"]}, "gas": {"D1": [0.0, "41"]}}</fb>
    <v>&lt;class 'str'&gt;</v>
    <v>str</v>
    <v>{"oil": {"D1": [0.8, "64"]}, "gas": {"D1": [0.0, "41"]}}</v>
    <v>{"oil": {"D1": [0.8, "64"]}, "gas": {"D1": [0.0, "41"]}}</v>
    <v>2</v>
  </rv>
  <rv s="4">
    <fb t="s">{"oil": {"D1": [1.5, "32"]}, "gas": {"D1": [0.0, "72"]}, "cond": {"D1": [0.0, "04"]}}</fb>
    <v>&lt;class 'str'&gt;</v>
    <v>str</v>
    <v>{"oil": {"D1": [1.5, "32"]}, "gas": {"D1": [0.0, "72"]}, "cond": {"D1": [0.0, "04"]}}</v>
    <v>{"oil": {"D1": [1.5, "32"]}, "gas": {"D1": [0.0, "72"]}, "cond": {"D1": [0.0, "04"]}}</v>
    <v>2</v>
  </rv>
  <rv s="4">
    <fb t="s">{"oil": {"D1": [0.9, "74"]}}</fb>
    <v>&lt;class 'str'&gt;</v>
    <v>str</v>
    <v>{"oil": {"D1": [0.9, "74"]}}</v>
    <v>{"oil": {"D1": [0.9, "74"]}}</v>
    <v>2</v>
  </rv>
  <rv s="4">
    <fb t="s">{"oil": {"D1": [3.247, "млн т"]}, "gas": {"D1": [0.154, "млрд м3"]}}</fb>
    <v>&lt;class 'str'&gt;</v>
    <v>str</v>
    <v>{"oil": {"D1": [3.247, "млн т"]}, "gas": {"D1": [0.154, "млрд м3"]}}</v>
    <v>{"oil": {"D1": [3.247, "млн т"]}, "gas": {"D1": [0.154, "млрд м3"]}}</v>
    <v>2</v>
  </rv>
  <rv s="4">
    <fb t="s">{"oil": {"D1": [1.106, "млн т"]}, "gas": {"D1": [0.053, "млрд м3"]}}</fb>
    <v>&lt;class 'str'&gt;</v>
    <v>str</v>
    <v>{"oil": {"D1": [1.106, "млн т"]}, "gas": {"D1": [0.053, "млрд м3"]}}</v>
    <v>{"oil": {"D1": [1.106, "млн т"]}, "gas": {"D1": [0.053, "млрд м3"]}}</v>
    <v>2</v>
  </rv>
  <rv s="4">
    <fb t="s">{"oil": {"D1": [0.882, "млн т"]}, "gas": {"D1": [0.042, "млрд м3"]}}</fb>
    <v>&lt;class 'str'&gt;</v>
    <v>str</v>
    <v>{"oil": {"D1": [0.882, "млн т"]}, "gas": {"D1": [0.042, "млрд м3"]}}</v>
    <v>{"oil": {"D1": [0.882, "млн т"]}, "gas": {"D1": [0.042, "млрд м3"]}}</v>
    <v>2</v>
  </rv>
  <rv s="4">
    <fb t="s">{"oil": {"D1": [1.247, "млн т"]}, "gas": {"D1": [0.059, "млрд м3"]}}</fb>
    <v>&lt;class 'str'&gt;</v>
    <v>str</v>
    <v>{"oil": {"D1": [1.247, "млн т"]}, "gas": {"D1": [0.059, "млрд м3"]}}</v>
    <v>{"oil": {"D1": [1.247, "млн т"]}, "gas": {"D1": [0.059, "млрд м3"]}}</v>
    <v>2</v>
  </rv>
  <rv s="4">
    <fb t="s">{"oil": {"D1": [0.934, "млн т"]}, "gas": {"D1": [0.044, "млрд м3"]}}</fb>
    <v>&lt;class 'str'&gt;</v>
    <v>str</v>
    <v>{"oil": {"D1": [0.934, "млн т"]}, "gas": {"D1": [0.044, "млрд м3"]}}</v>
    <v>{"oil": {"D1": [0.934, "млн т"]}, "gas": {"D1": [0.044, "млрд м3"]}}</v>
    <v>2</v>
  </rv>
  <rv s="4">
    <fb t="s">{"oil": {"D1": [1.563, "млн т"]}, "gas": {"D1": [0.074, "млрд м3"]}}</fb>
    <v>&lt;class 'str'&gt;</v>
    <v>str</v>
    <v>{"oil": {"D1": [1.563, "млн т"]}, "gas": {"D1": [0.074, "млрд м3"]}}</v>
    <v>{"oil": {"D1": [1.563, "млн т"]}, "gas": {"D1": [0.074, "млрд м3"]}}</v>
    <v>2</v>
  </rv>
  <rv s="4">
    <fb t="s">{"oil": {"D1": [2.4, "17"]}}</fb>
    <v>&lt;class 'str'&gt;</v>
    <v>str</v>
    <v>{"oil": {"D1": [2.4, "17"]}}</v>
    <v>{"oil": {"D1": [2.4, "17"]}}</v>
    <v>2</v>
  </rv>
  <rv s="4">
    <fb t="s">{"oil": {"D1": [1.8, "85"]}}</fb>
    <v>&lt;class 'str'&gt;</v>
    <v>str</v>
    <v>{"oil": {"D1": [1.8, "85"]}}</v>
    <v>{"oil": {"D1": [1.8, "85"]}}</v>
    <v>2</v>
  </rv>
  <rv s="4">
    <fb t="s">{"oil": {"D1": [2.7, "74"]}}</fb>
    <v>&lt;class 'str'&gt;</v>
    <v>str</v>
    <v>{"oil": {"D1": [2.7, "74"]}}</v>
    <v>{"oil": {"D1": [2.7, "74"]}}</v>
    <v>2</v>
  </rv>
  <rv s="4">
    <fb t="s">{"oil": {"D1": [1.3, "96"]}, "gas": {"D1": [0.0, "66"]}}</fb>
    <v>&lt;class 'str'&gt;</v>
    <v>str</v>
    <v>{"oil": {"D1": [1.3, "96"]}, "gas": {"D1": [0.0, "66"]}}</v>
    <v>{"oil": {"D1": [1.3, "96"]}, "gas": {"D1": [0.0, "66"]}}</v>
    <v>2</v>
  </rv>
  <rv s="4">
    <fb t="s">{"oil": {"B1": [0.102, "млн т"]}}</fb>
    <v>&lt;class 'str'&gt;</v>
    <v>str</v>
    <v>{"oil": {"B1": [0.102, "млн т"]}}</v>
    <v>{"oil": {"B1": [0.102, "млн т"]}}</v>
    <v>2</v>
  </rv>
  <rv s="4">
    <fb t="s">{"oil": {"D1": [0.081, "млн т"], "D2": [0.003, "млн т"]}, "gas": {"C1": [0.139, "млрд м3"], "C2": [0.522, "млрд м3"], "D1": [0.777, "млрд м3"], "D2": [0.044, "млрд м3"]}, "cond": {"C1": [0.0, "02"], "C2": [0.0, "08"], "D1": [0.036, "млн т"]}}</fb>
    <v>&lt;class 'str'&gt;</v>
    <v>str</v>
    <v>{"oil": {"D1": [0.081, "млн т"], "D2": [0.003, "млн т"]}, "gas": {"C1": [0.139, "млрд м3"], "C2": [0.522, "млрд м3"], "D1": [0.777, "млрд м3"], "D2": [0.044, "млрд м3"]}, "cond": {"C1": [0.0, "02"], "C2": [0.0, "08"], "D1": [0.036, "млн т"]}}</v>
    <v>{"oil": {"D1": [0.081, "млн т"], "D2": [0.003, "млн т"]}, "gas": {"C1": [0.139, "млрд м3"], "C2": [0.522, "млрд м3"], "D1": [0.777, "млрд м3"], "D2": [0.044, "млрд м3"]}, "cond": {"C1": [0.0, "02"], "C2": [0.0, "08"], "D1": [0.036, "млн т"]}}</v>
    <v>2</v>
  </rv>
  <rv s="4">
    <fb t="s">{"gas": {"C1": [0.007, "млрд м3"]}}</fb>
    <v>&lt;class 'str'&gt;</v>
    <v>str</v>
    <v>{"gas": {"C1": [0.007, "млрд м3"]}}</v>
    <v>{"gas": {"C1": [0.007, "млрд м3"]}}</v>
    <v>2</v>
  </rv>
  <rv s="4">
    <fb t="s">{"gas": {"C1": [0.414, "млрд м3"]}}</fb>
    <v>&lt;class 'str'&gt;</v>
    <v>str</v>
    <v>{"gas": {"C1": [0.414, "млрд м3"]}}</v>
    <v>{"gas": {"C1": [0.414, "млрд м3"]}}</v>
    <v>2</v>
  </rv>
  <rv s="4">
    <fb t="s">{"gas": {"C1": [0.039, "млрд м3"]}}</fb>
    <v>&lt;class 'str'&gt;</v>
    <v>str</v>
    <v>{"gas": {"C1": [0.039, "млрд м3"]}}</v>
    <v>{"gas": {"C1": [0.039, "млрд м3"]}}</v>
    <v>2</v>
  </rv>
  <rv s="4">
    <fb t="s">{"gas": {"C1": [0.09, "млрд м3"]}}</fb>
    <v>&lt;class 'str'&gt;</v>
    <v>str</v>
    <v>{"gas": {"C1": [0.09, "млрд м3"]}}</v>
    <v>{"gas": {"C1": [0.09, "млрд м3"]}}</v>
    <v>2</v>
  </rv>
  <rv s="4">
    <fb t="s">{"oil": {"C1": [1.8, "75"]}, "gas": {"C1": [0.487, "млрд м3"]}}</fb>
    <v>&lt;class 'str'&gt;</v>
    <v>str</v>
    <v>{"oil": {"C1": [1.8, "75"]}, "gas": {"C1": [0.487, "млрд м3"]}}</v>
    <v>{"oil": {"C1": [1.8, "75"]}, "gas": {"C1": [0.487, "млрд м3"]}}</v>
    <v>2</v>
  </rv>
  <rv s="4">
    <fb t="s">{"oil": {"Dл": [23.9, "20"], "D1": [1.0, "67"], "D2": [0.9, "73"]}}</fb>
    <v>&lt;class 'str'&gt;</v>
    <v>str</v>
    <v>{"oil": {"Dл": [23.9, "20"], "D1": [1.0, "67"], "D2": [0.9, "73"]}}</v>
    <v>{"oil": {"Dл": [23.9, "20"], "D1": [1.0, "67"], "D2": [0.9, "73"]}}</v>
    <v>2</v>
  </rv>
  <rv s="4">
    <fb t="s">{"oil": {"Dл": [785.35, "млн т"]}, "gas": {"Dл": [67.74, "млрд м3"]}}</fb>
    <v>&lt;class 'str'&gt;</v>
    <v>str</v>
    <v>{"oil": {"Dл": [785.35, "млн т"]}, "gas": {"Dл": [67.74, "млрд м3"]}}</v>
    <v>{"oil": {"Dл": [785.35, "млн т"]}, "gas": {"Dл": [67.74, "млрд м3"]}}</v>
    <v>2</v>
  </rv>
  <rv s="4">
    <fb t="s">{"gas": {"Dл": [1178.979, "млрд м3"]}, "cond": {"Dл": [31.12, "млн т"]}}</fb>
    <v>&lt;class 'str'&gt;</v>
    <v>str</v>
    <v>{"gas": {"Dл": [1178.979, "млрд м3"]}, "cond": {"Dл": [31.12, "млн т"]}}</v>
    <v>{"gas": {"Dл": [1178.979, "млрд м3"]}, "cond": {"Dл": [31.12, "млн т"]}}</v>
    <v>2</v>
  </rv>
  <rv s="4">
    <fb t="s">{"oil": {"Dл": [459.0, "млн т"]}, "gas": {"Dл": [376.8, "млрд м3"]}}</fb>
    <v>&lt;class 'str'&gt;</v>
    <v>str</v>
    <v>{"oil": {"Dл": [459.0, "млн т"]}, "gas": {"Dл": [376.8, "млрд м3"]}}</v>
    <v>{"oil": {"Dл": [459.0, "млн т"]}, "gas": {"Dл": [376.8, "млрд м3"]}}</v>
    <v>2</v>
  </rv>
  <rv s="4">
    <fb t="s">{"oil": {"Dл": [512.4, "млн т"]}, "gas": {"Dл": [421.6, "млрд м3"]}}</fb>
    <v>&lt;class 'str'&gt;</v>
    <v>str</v>
    <v>{"oil": {"Dл": [512.4, "млн т"]}, "gas": {"Dл": [421.6, "млрд м3"]}}</v>
    <v>{"oil": {"Dл": [512.4, "млн т"]}, "gas": {"Dл": [421.6, "млрд м3"]}}</v>
    <v>2</v>
  </rv>
  <rv s="4">
    <fb t="s">{"oil": {"Dл": [384.1, "млн т"]}, "gas": {"Dл": [305.2, "млрд м3"]}}</fb>
    <v>&lt;class 'str'&gt;</v>
    <v>str</v>
    <v>{"oil": {"Dл": [384.1, "млн т"]}, "gas": {"Dл": [305.2, "млрд м3"]}}</v>
    <v>{"oil": {"Dл": [384.1, "млн т"]}, "gas": {"Dл": [305.2, "млрд м3"]}}</v>
    <v>2</v>
  </rv>
  <rv s="4">
    <fb t="s">{"oil": {"D1": [4.3, "82"], "D2": [1.2, "28"]}, "gas": {"D1": [0.8, "42"]}}</fb>
    <v>&lt;class 'str'&gt;</v>
    <v>str</v>
    <v>{"oil": {"D1": [4.3, "82"], "D2": [1.2, "28"]}, "gas": {"D1": [0.8, "42"]}}</v>
    <v>{"oil": {"D1": [4.3, "82"], "D2": [1.2, "28"]}, "gas": {"D1": [0.8, "42"]}}</v>
    <v>2</v>
  </rv>
  <rv s="4">
    <fb t="s">{"oil": {"D1": [3.1, "47"]}, "gas": {"D1": [0.6, "04"]}}</fb>
    <v>&lt;class 'str'&gt;</v>
    <v>str</v>
    <v>{"oil": {"D1": [3.1, "47"]}, "gas": {"D1": [0.6, "04"]}}</v>
    <v>{"oil": {"D1": [3.1, "47"]}, "gas": {"D1": [0.6, "04"]}}</v>
    <v>2</v>
  </rv>
  <rv s="4">
    <fb t="s">{"oil": {"D1": [2.9, "04"]}, "gas": {"D1": [0.5, "57"]}}</fb>
    <v>&lt;class 'str'&gt;</v>
    <v>str</v>
    <v>{"oil": {"D1": [2.9, "04"]}, "gas": {"D1": [0.5, "57"]}}</v>
    <v>{"oil": {"D1": [2.9, "04"]}, "gas": {"D1": [0.5, "57"]}}</v>
    <v>2</v>
  </rv>
  <rv s="4">
    <fb t="s">{"oil": {"C1": [1.274, "млн т"]}, "gas": {"C1": [0.118, "млрд м3"]}}</fb>
    <v>&lt;class 'str'&gt;</v>
    <v>str</v>
    <v>{"oil": {"C1": [1.274, "млн т"]}, "gas": {"C1": [0.118, "млрд м3"]}}</v>
    <v>{"oil": {"C1": [1.274, "млн т"]}, "gas": {"C1": [0.118, "млрд м3"]}}</v>
    <v>2</v>
  </rv>
  <rv s="4">
    <fb t="s">{"oil": {"C1": [0.944, "млн т"]}, "gas": {"C1": [0.086, "млрд м3"]}}</fb>
    <v>&lt;class 'str'&gt;</v>
    <v>str</v>
    <v>{"oil": {"C1": [0.944, "млн т"]}, "gas": {"C1": [0.086, "млрд м3"]}}</v>
    <v>{"oil": {"C1": [0.944, "млн т"]}, "gas": {"C1": [0.086, "млрд м3"]}}</v>
    <v>2</v>
  </rv>
  <rv s="4">
    <fb t="s">{"gas": {"C1": [128.6, "млрд м3"]}, "cond": {"C1": [7.42, "млн т"]}}</fb>
    <v>&lt;class 'str'&gt;</v>
    <v>str</v>
    <v>{"gas": {"C1": [128.6, "млрд м3"]}, "cond": {"C1": [7.42, "млн т"]}}</v>
    <v>{"gas": {"C1": [128.6, "млрд м3"]}, "cond": {"C1": [7.42, "млн т"]}}</v>
    <v>2</v>
  </rv>
  <rv s="4">
    <fb t="s">{"oil": {"Dл": [415.1, "54"], "D1": [80.7, "41"], "D2": [21.0, "24"]}, "gas": {"Dл": [50.7, "34"], "D1": [3.3, "56"], "D2": [7.0, "25"]}}</fb>
    <v>&lt;class 'str'&gt;</v>
    <v>str</v>
    <v>{"oil": {"Dл": [415.1, "54"], "D1": [80.7, "41"], "D2": [21.0, "24"]}, "gas": {"Dл": [50.7, "34"], "D1": [3.3, "56"], "D2": [7.0, "25"]}}</v>
    <v>{"oil": {"Dл": [415.1, "54"], "D1": [80.7, "41"], "D2": [21.0, "24"]}, "gas": {"Dл": [50.7, "34"], "D1": [3.3, "56"], "D2": [7.0, "25"]}}</v>
    <v>2</v>
  </rv>
  <rv s="4">
    <fb t="s">{"oil": {"Dл": [227.7, "23"], "D1": [56.4, "21"], "D2": [52.7, "53"]}, "gas": {"D1": [1.3, "73"], "D2": [2.6, "51"]}}</fb>
    <v>&lt;class 'str'&gt;</v>
    <v>str</v>
    <v>{"oil": {"Dл": [227.7, "23"], "D1": [56.4, "21"], "D2": [52.7, "53"]}, "gas": {"D1": [1.3, "73"], "D2": [2.6, "51"]}}</v>
    <v>{"oil": {"Dл": [227.7, "23"], "D1": [56.4, "21"], "D2": [52.7, "53"]}, "gas": {"D1": [1.3, "73"], "D2": [2.6, "51"]}}</v>
    <v>2</v>
  </rv>
  <rv s="4">
    <fb t="s">{"oil": {"D1": [0.0, "58"]}, "cond": {"C1": [0.027, "млн т"], "C2": [0.011, "млн т"]}}</fb>
    <v>&lt;class 'str'&gt;</v>
    <v>str</v>
    <v>{"oil": {"D1": [0.0, "58"]}, "cond": {"C1": [0.027, "млн т"], "C2": [0.011, "млн т"]}}</v>
    <v>{"oil": {"D1": [0.0, "58"]}, "cond": {"C1": [0.027, "млн т"], "C2": [0.011, "млн т"]}}</v>
    <v>2</v>
  </rv>
  <rv s="4">
    <fb t="s">{"gas": {"C1": [1.0, "млрд м3"]}}</fb>
    <v>&lt;class 'str'&gt;</v>
    <v>str</v>
    <v>{"gas": {"C1": [1.0, "млрд м3"]}}</v>
    <v>{"gas": {"C1": [1.0, "млрд м3"]}}</v>
    <v>2</v>
  </rv>
  <rv s="4">
    <fb t="s">{"gas": {"C1": [0.563, "млрд м3"]}}</fb>
    <v>&lt;class 'str'&gt;</v>
    <v>str</v>
    <v>{"gas": {"C1": [0.563, "млрд м3"]}}</v>
    <v>{"gas": {"C1": [0.563, "млрд м3"]}}</v>
    <v>2</v>
  </rv>
  <rv s="4">
    <fb t="s">{"oil": {"B1": [0.3, "24"], "D1": [3.15, "млн т"]}}</fb>
    <v>&lt;class 'str'&gt;</v>
    <v>str</v>
    <v>{"oil": {"B1": [0.3, "24"], "D1": [3.15, "млн т"]}}</v>
    <v>{"oil": {"B1": [0.3, "24"], "D1": [3.15, "млн т"]}}</v>
    <v>2</v>
  </rv>
  <rv s="4">
    <fb t="s">{"oil": {"D0": [2.358, "млн т"]}}</fb>
    <v>&lt;class 'str'&gt;</v>
    <v>str</v>
    <v>{"oil": {"D0": [2.358, "млн т"]}}</v>
    <v>{"oil": {"D0": [2.358, "млн т"]}}</v>
    <v>2</v>
  </rv>
  <rv s="4">
    <fb t="s">{"oil": {"D0": [1.642, "млн т"]}}</fb>
    <v>&lt;class 'str'&gt;</v>
    <v>str</v>
    <v>{"oil": {"D0": [1.642, "млн т"]}}</v>
    <v>{"oil": {"D0": [1.642, "млн т"]}}</v>
    <v>2</v>
  </rv>
  <rv s="4">
    <fb t="s">{"oil": {"D0": [1.944, "млн т"]}}</fb>
    <v>&lt;class 'str'&gt;</v>
    <v>str</v>
    <v>{"oil": {"D0": [1.944, "млн т"]}}</v>
    <v>{"oil": {"D0": [1.944, "млн т"]}}</v>
    <v>2</v>
  </rv>
  <rv s="4">
    <fb t="s">{"oil": {"D1": [0.4, "78"]}}</fb>
    <v>&lt;class 'str'&gt;</v>
    <v>str</v>
    <v>{"oil": {"D1": [0.4, "78"]}}</v>
    <v>{"oil": {"D1": [0.4, "78"]}}</v>
    <v>2</v>
  </rv>
  <rv s="4">
    <fb t="s">{"oil": {"C1": [9.154, "млн т"]}, "gas": {"C1": [1.173, "млрд м3"]}}</fb>
    <v>&lt;class 'str'&gt;</v>
    <v>str</v>
    <v>{"oil": {"C1": [9.154, "млн т"]}, "gas": {"C1": [1.173, "млрд м3"]}}</v>
    <v>{"oil": {"C1": [9.154, "млн т"]}, "gas": {"C1": [1.173, "млрд м3"]}}</v>
    <v>2</v>
  </rv>
  <rv s="4">
    <fb t="s">{"oil": {"C1": [3.784, "млн т"]}, "gas": {"C1": [0.486, "млрд м3"]}}</fb>
    <v>&lt;class 'str'&gt;</v>
    <v>str</v>
    <v>{"oil": {"C1": [3.784, "млн т"]}, "gas": {"C1": [0.486, "млрд м3"]}}</v>
    <v>{"oil": {"C1": [3.784, "млн т"]}, "gas": {"C1": [0.486, "млрд м3"]}}</v>
    <v>2</v>
  </rv>
  <rv s="4">
    <fb t="s">{"oil": {"C1": [4.265, "млн т"]}, "gas": {"C1": [0.548, "млрд м3"]}}</fb>
    <v>&lt;class 'str'&gt;</v>
    <v>str</v>
    <v>{"oil": {"C1": [4.265, "млн т"]}, "gas": {"C1": [0.548, "млрд м3"]}}</v>
    <v>{"oil": {"C1": [4.265, "млн т"]}, "gas": {"C1": [0.548, "млрд м3"]}}</v>
    <v>2</v>
  </rv>
  <rv s="4">
    <fb t="s">{"oil": {"D1": [15.4, "17"]}, "gas": {"D1": [1.0, "24"]}}</fb>
    <v>&lt;class 'str'&gt;</v>
    <v>str</v>
    <v>{"oil": {"D1": [15.4, "17"]}, "gas": {"D1": [1.0, "24"]}}</v>
    <v>{"oil": {"D1": [15.4, "17"]}, "gas": {"D1": [1.0, "24"]}}</v>
    <v>2</v>
  </rv>
  <rv s="4">
    <fb t="s">{"oil": {"D1": [11.3, "28"]}, "gas": {"D1": [0.7, "52"]}}</fb>
    <v>&lt;class 'str'&gt;</v>
    <v>str</v>
    <v>{"oil": {"D1": [11.3, "28"]}, "gas": {"D1": [0.7, "52"]}}</v>
    <v>{"oil": {"D1": [11.3, "28"]}, "gas": {"D1": [0.7, "52"]}}</v>
    <v>2</v>
  </rv>
  <rv s="4">
    <fb t="s">{"oil": {"D1": [13.8, "06"]}, "gas": {"D1": [0.9, "16"]}}</fb>
    <v>&lt;class 'str'&gt;</v>
    <v>str</v>
    <v>{"oil": {"D1": [13.8, "06"]}, "gas": {"D1": [0.9, "16"]}}</v>
    <v>{"oil": {"D1": [13.8, "06"]}, "gas": {"D1": [0.9, "16"]}}</v>
    <v>2</v>
  </rv>
  <rv s="4">
    <fb t="s">{"oil": {"D1": [10.2, "74"]}, "gas": {"D1": [0.6, "81"]}}</fb>
    <v>&lt;class 'str'&gt;</v>
    <v>str</v>
    <v>{"oil": {"D1": [10.2, "74"]}, "gas": {"D1": [0.6, "81"]}}</v>
    <v>{"oil": {"D1": [10.2, "74"]}, "gas": {"D1": [0.6, "81"]}}</v>
    <v>2</v>
  </rv>
  <rv s="4">
    <fb t="s">{"oil": {"C1": [5.712, "млн т"]}, "gas": {"C1": [0.734, "млрд м3"]}}</fb>
    <v>&lt;class 'str'&gt;</v>
    <v>str</v>
    <v>{"oil": {"C1": [5.712, "млн т"]}, "gas": {"C1": [0.734, "млрд м3"]}}</v>
    <v>{"oil": {"C1": [5.712, "млн т"]}, "gas": {"C1": [0.734, "млрд м3"]}}</v>
    <v>2</v>
  </rv>
  <rv s="4">
    <fb t="s">{"oil": {"C1": [6.894, "млн т"]}, "gas": {"C1": [0.885, "млрд м3"]}}</fb>
    <v>&lt;class 'str'&gt;</v>
    <v>str</v>
    <v>{"oil": {"C1": [6.894, "млн т"]}, "gas": {"C1": [0.885, "млрд м3"]}}</v>
    <v>{"oil": {"C1": [6.894, "млн т"]}, "gas": {"C1": [0.885, "млрд м3"]}}</v>
    <v>2</v>
  </rv>
  <rv s="4">
    <fb t="s">{"oil": {"C1": [4.336, "млн т"]}, "gas": {"C1": [0.557, "млрд м3"]}}</fb>
    <v>&lt;class 'str'&gt;</v>
    <v>str</v>
    <v>{"oil": {"C1": [4.336, "млн т"]}, "gas": {"C1": [0.557, "млрд м3"]}}</v>
    <v>{"oil": {"C1": [4.336, "млн т"]}, "gas": {"C1": [0.557, "млрд м3"]}}</v>
    <v>2</v>
  </rv>
  <rv s="4">
    <fb t="s">{"oil": {"C1": [7.148, "млн т"]}, "gas": {"C1": [0.919, "млрд м3"]}}</fb>
    <v>&lt;class 'str'&gt;</v>
    <v>str</v>
    <v>{"oil": {"C1": [7.148, "млн т"]}, "gas": {"C1": [0.919, "млрд м3"]}}</v>
    <v>{"oil": {"C1": [7.148, "млн т"]}, "gas": {"C1": [0.919, "млрд м3"]}}</v>
    <v>2</v>
  </rv>
  <rv s="4">
    <fb t="s">{"gas": {"C1": [145.8, "млрд м3"]}, "cond": {"C1": [8.91, "млн т"]}}</fb>
    <v>&lt;class 'str'&gt;</v>
    <v>str</v>
    <v>{"gas": {"C1": [145.8, "млрд м3"]}, "cond": {"C1": [8.91, "млн т"]}}</v>
    <v>{"gas": {"C1": [145.8, "млрд м3"]}, "cond": {"C1": [8.91, "млн т"]}}</v>
    <v>2</v>
  </rv>
  <rv s="4">
    <fb t="s">{"oil": {"D1": [1.2, "млн.т."], "D2": [0.3, "млн.т."]}, "gas": {"D1": [0.2, "млрд.м3"], "D2": [0.4, "млрд.м3"]}}</fb>
    <v>&lt;class 'str'&gt;</v>
    <v>str</v>
    <v>{"oil": {"D1": [1.2, "млн.т."], "D2": [0.3, "млн.т."]}, "gas": {"D1": [0.2, "млрд.м3"], "D2": [0.4, "млрд.м3"]}}</v>
    <v>{"oil": {"D1": [1.2, "млн.т."], "D2": [0.3, "млн.т."]}, "gas": {"D1": [0.2, "млрд.м3"], "D2": [0.4, "млрд.м3"]}}</v>
    <v>2</v>
  </rv>
  <rv s="4">
    <fb t="s">{"oil": {"D1": [11.0, "млн.т."], "D2": [0.8, "млн.т."]}, "gas": {"D1": [1.3, "млрд.м3"], "D2": [1.0, "млрд.м3"]}}</fb>
    <v>&lt;class 'str'&gt;</v>
    <v>str</v>
    <v>{"oil": {"D1": [11.0, "млн.т."], "D2": [0.8, "млн.т."]}, "gas": {"D1": [1.3, "млрд.м3"], "D2": [1.0, "млрд.м3"]}}</v>
    <v>{"oil": {"D1": [11.0, "млн.т."], "D2": [0.8, "млн.т."]}, "gas": {"D1": [1.3, "млрд.м3"], "D2": [1.0, "млрд.м3"]}}</v>
    <v>2</v>
  </rv>
  <rv s="4">
    <fb t="s">{"oil": {"D1": [14.0, "млн.т"], "D2": [2.7, "млн. т"]}}</fb>
    <v>&lt;class 'str'&gt;</v>
    <v>str</v>
    <v>{"oil": {"D1": [14.0, "млн.т"], "D2": [2.7, "млн. т"]}}</v>
    <v>{"oil": {"D1": [14.0, "млн.т"], "D2": [2.7, "млн. т"]}}</v>
    <v>2</v>
  </rv>
  <rv s="4">
    <fb t="s">{"oil": {"D1": [11.5, "млн.т"], "D2": [0.5, "млн.т"]}, "gas": {"D1": [4.2, "млрд.м3"], "D2": [1.3, "млрд.м3"]}}</fb>
    <v>&lt;class 'str'&gt;</v>
    <v>str</v>
    <v>{"oil": {"D1": [11.5, "млн.т"], "D2": [0.5, "млн.т"]}, "gas": {"D1": [4.2, "млрд.м3"], "D2": [1.3, "млрд.м3"]}}</v>
    <v>{"oil": {"D1": [11.5, "млн.т"], "D2": [0.5, "млн.т"]}, "gas": {"D1": [4.2, "млрд.м3"], "D2": [1.3, "млрд.м3"]}}</v>
    <v>2</v>
  </rv>
  <rv s="4">
    <fb t="s">{"oil": {"D1": [2.1, "млн.т"], "D2": [0.1, "млн.т"]}}</fb>
    <v>&lt;class 'str'&gt;</v>
    <v>str</v>
    <v>{"oil": {"D1": [2.1, "млн.т"], "D2": [0.1, "млн.т"]}}</v>
    <v>{"oil": {"D1": [2.1, "млн.т"], "D2": [0.1, "млн.т"]}}</v>
    <v>2</v>
  </rv>
  <rv s="4">
    <fb t="s">{"oil": {"D1": [13.5, "млн.т."], "D2": [0.5, "млн.т."]}, "gas": {"D1": [0.4, "млрд. м3."], "D2": [0.9, "млрд. м3."]}}</fb>
    <v>&lt;class 'str'&gt;</v>
    <v>str</v>
    <v>{"oil": {"D1": [13.5, "млн.т."], "D2": [0.5, "млн.т."]}, "gas": {"D1": [0.4, "млрд. м3."], "D2": [0.9, "млрд. м3."]}}</v>
    <v>{"oil": {"D1": [13.5, "млн.т."], "D2": [0.5, "млн.т."]}, "gas": {"D1": [0.4, "млрд. м3."], "D2": [0.9, "млрд. м3."]}}</v>
    <v>2</v>
  </rv>
  <rv s="4">
    <fb t="s">{"oil": {"D1": [11.5, "млн.т."], "D2": [0.5, "млн.т."]}, "gas": {"D1": [0.3, "млрд. м3."], "D2": [0.8, "млрд. м3."]}}</fb>
    <v>&lt;class 'str'&gt;</v>
    <v>str</v>
    <v>{"oil": {"D1": [11.5, "млн.т."], "D2": [0.5, "млн.т."]}, "gas": {"D1": [0.3, "млрд. м3."], "D2": [0.8, "млрд. м3."]}}</v>
    <v>{"oil": {"D1": [11.5, "млн.т."], "D2": [0.5, "млн.т."]}, "gas": {"D1": [0.3, "млрд. м3."], "D2": [0.8, "млрд. м3."]}}</v>
    <v>2</v>
  </rv>
  <rv s="4">
    <fb t="s">{"oil": {"D1": [8.2, "млн.т"], "D2": [0.3, "млн.т"]}, "gas": {"D2": [2.0, "млрд.м3"]}}</fb>
    <v>&lt;class 'str'&gt;</v>
    <v>str</v>
    <v>{"oil": {"D1": [8.2, "млн.т"], "D2": [0.3, "млн.т"]}, "gas": {"D2": [2.0, "млрд.м3"]}}</v>
    <v>{"oil": {"D1": [8.2, "млн.т"], "D2": [0.3, "млн.т"]}, "gas": {"D2": [2.0, "млрд.м3"]}}</v>
    <v>2</v>
  </rv>
  <rv s="4">
    <fb t="s">{"oil": {"D1": [5.0, "млн.т."], "D2": [0.8, "млн.т."]}, "gas": {"D1": [0.7, "млрд. м3"], "D2": [1.4, "млрд м3"]}}</fb>
    <v>&lt;class 'str'&gt;</v>
    <v>str</v>
    <v>{"oil": {"D1": [5.0, "млн.т."], "D2": [0.8, "млн.т."]}, "gas": {"D1": [0.7, "млрд. м3"], "D2": [1.4, "млрд м3"]}}</v>
    <v>{"oil": {"D1": [5.0, "млн.т."], "D2": [0.8, "млн.т."]}, "gas": {"D1": [0.7, "млрд. м3"], "D2": [1.4, "млрд м3"]}}</v>
    <v>2</v>
  </rv>
  <rv s="4">
    <fb t="s">{"oil": {"D0": [4.125, "млн тDп"], "D1": [1.5, "млн т"]}}</fb>
    <v>&lt;class 'str'&gt;</v>
    <v>str</v>
    <v>{"oil": {"D0": [4.125, "млн тDп"], "D1": [1.5, "млн т"]}}</v>
    <v>{"oil": {"D0": [4.125, "млн тDп"], "D1": [1.5, "млн т"]}}</v>
    <v>2</v>
  </rv>
  <rv s="4">
    <fb t="s">{"oil": {"D1": [18.0, "млн т"], "D2": [0.4, "млн т"]}}</fb>
    <v>&lt;class 'str'&gt;</v>
    <v>str</v>
    <v>{"oil": {"D1": [18.0, "млн т"], "D2": [0.4, "млн т"]}}</v>
    <v>{"oil": {"D1": [18.0, "млн т"], "D2": [0.4, "млн т"]}}</v>
    <v>2</v>
  </rv>
  <rv s="4">
    <fb t="s">{"oil": {"Dл": [0.031, "млн т"], "D1": [4.4, "млн т"], "D2": [0.5, "млн т"]}, "gas": {"D2": [0.3, "млрд м3"]}}</fb>
    <v>&lt;class 'str'&gt;</v>
    <v>str</v>
    <v>{"oil": {"Dл": [0.031, "млн т"], "D1": [4.4, "млн т"], "D2": [0.5, "млн т"]}, "gas": {"D2": [0.3, "млрд м3"]}}</v>
    <v>{"oil": {"Dл": [0.031, "млн т"], "D1": [4.4, "млн т"], "D2": [0.5, "млн т"]}, "gas": {"D2": [0.3, "млрд м3"]}}</v>
    <v>2</v>
  </rv>
  <rv s="4">
    <fb t="s">{"oil": {"D1": [6.4, "млн т"], "D2": [0.6, "млн т"]}, "gas": {"D2": [0.4, "млрд м3"]}}</fb>
    <v>&lt;class 'str'&gt;</v>
    <v>str</v>
    <v>{"oil": {"D1": [6.4, "млн т"], "D2": [0.6, "млн т"]}, "gas": {"D2": [0.4, "млрд м3"]}}</v>
    <v>{"oil": {"D1": [6.4, "млн т"], "D2": [0.6, "млн т"]}, "gas": {"D2": [0.4, "млрд м3"]}}</v>
    <v>2</v>
  </rv>
  <rv s="4">
    <fb t="s">{"oil": {"D1": [2.2, "млн т"], "D2": [0.2, "млн т"]}}</fb>
    <v>&lt;class 'str'&gt;</v>
    <v>str</v>
    <v>{"oil": {"D1": [2.2, "млн т"], "D2": [0.2, "млн т"]}}</v>
    <v>{"oil": {"D1": [2.2, "млн т"], "D2": [0.2, "млн т"]}}</v>
    <v>2</v>
  </rv>
  <rv s="4">
    <fb t="s">{"oil": {"Dл": [2.481, "млн т"], "D1": [10.6, "млн т"], "D2": [1.2, "млн т"]}, "gas": {"D1": [0.3, "млрд м3"], "D2": [0.3, "млрд м3"]}}</fb>
    <v>&lt;class 'str'&gt;</v>
    <v>str</v>
    <v>{"oil": {"Dл": [2.481, "млн т"], "D1": [10.6, "млн т"], "D2": [1.2, "млн т"]}, "gas": {"D1": [0.3, "млрд м3"], "D2": [0.3, "млрд м3"]}}</v>
    <v>{"oil": {"Dл": [2.481, "млн т"], "D1": [10.6, "млн т"], "D2": [1.2, "млн т"]}, "gas": {"D1": [0.3, "млрд м3"], "D2": [0.3, "млрд м3"]}}</v>
    <v>2</v>
  </rv>
  <rv s="4">
    <fb t="s">{"oil": {"D1": [15.5, "млн т"], "D2": [0.5, "млн т"]}, "gas": {"D1": [0.5, "млрд м3"], "D2": [1.1, "млрд м3"]}}</fb>
    <v>&lt;class 'str'&gt;</v>
    <v>str</v>
    <v>{"oil": {"D1": [15.5, "млн т"], "D2": [0.5, "млн т"]}, "gas": {"D1": [0.5, "млрд м3"], "D2": [1.1, "млрд м3"]}}</v>
    <v>{"oil": {"D1": [15.5, "млн т"], "D2": [0.5, "млн т"]}, "gas": {"D1": [0.5, "млрд м3"], "D2": [1.1, "млрд м3"]}}</v>
    <v>2</v>
  </rv>
  <rv s="4">
    <fb t="s">{"oil": {"D1": [17.5, "млн т"], "D2": [0.6, "млн т"]}, "gas": {"D1": [0.5, "млрд м3"], "D2": [1.2, "млрд м3"]}}</fb>
    <v>&lt;class 'str'&gt;</v>
    <v>str</v>
    <v>{"oil": {"D1": [17.5, "млн т"], "D2": [0.6, "млн т"]}, "gas": {"D1": [0.5, "млрд м3"], "D2": [1.2, "млрд м3"]}}</v>
    <v>{"oil": {"D1": [17.5, "млн т"], "D2": [0.6, "млн т"]}, "gas": {"D1": [0.5, "млрд м3"], "D2": [1.2, "млрд м3"]}}</v>
    <v>2</v>
  </rv>
  <rv s="4">
    <fb t="s">{"oil": {"D1": [8.6, "млн т"], "D2": [0.4, "млн т"]}, "gas": {"D1": [0.3, "млрд м3"], "D2": [0.6, "млрд м3"]}}</fb>
    <v>&lt;class 'str'&gt;</v>
    <v>str</v>
    <v>{"oil": {"D1": [8.6, "млн т"], "D2": [0.4, "млн т"]}, "gas": {"D1": [0.3, "млрд м3"], "D2": [0.6, "млрд м3"]}}</v>
    <v>{"oil": {"D1": [8.6, "млн т"], "D2": [0.4, "млн т"]}, "gas": {"D1": [0.3, "млрд м3"], "D2": [0.6, "млрд м3"]}}</v>
    <v>2</v>
  </rv>
  <rv s="4">
    <fb t="s">{"oil": {"D1": [7.4, "млн т"], "D2": [0.3, "млн т"]}, "gas": {"D1": [0.2, "млрд м3"], "D2": [0.5, "млрд м3"]}}</fb>
    <v>&lt;class 'str'&gt;</v>
    <v>str</v>
    <v>{"oil": {"D1": [7.4, "млн т"], "D2": [0.3, "млн т"]}, "gas": {"D1": [0.2, "млрд м3"], "D2": [0.5, "млрд м3"]}}</v>
    <v>{"oil": {"D1": [7.4, "млн т"], "D2": [0.3, "млн т"]}, "gas": {"D1": [0.2, "млрд м3"], "D2": [0.5, "млрд м3"]}}</v>
    <v>2</v>
  </rv>
  <rv s="4">
    <fb t="s">{"oil": {"D1": [6.9, "млн т"], "D2": [0.3, "млн т"]}, "gas": {"D1": [0.2, "млрд м3"], "D2": [0.4, "млрд м3"]}}</fb>
    <v>&lt;class 'str'&gt;</v>
    <v>str</v>
    <v>{"oil": {"D1": [6.9, "млн т"], "D2": [0.3, "млн т"]}, "gas": {"D1": [0.2, "млрд м3"], "D2": [0.4, "млрд м3"]}}</v>
    <v>{"oil": {"D1": [6.9, "млн т"], "D2": [0.3, "млн т"]}, "gas": {"D1": [0.2, "млрд м3"], "D2": [0.4, "млрд м3"]}}</v>
    <v>2</v>
  </rv>
  <rv s="4">
    <fb t="s">{"oil": {"D1": [12.7, "млн т"], "D2": [0.5, "млн т"]}, "gas": {"D1": [0.4, "млрд м3"], "D2": [0.9, "млрд м3"]}}</fb>
    <v>&lt;class 'str'&gt;</v>
    <v>str</v>
    <v>{"oil": {"D1": [12.7, "млн т"], "D2": [0.5, "млн т"]}, "gas": {"D1": [0.4, "млрд м3"], "D2": [0.9, "млрд м3"]}}</v>
    <v>{"oil": {"D1": [12.7, "млн т"], "D2": [0.5, "млн т"]}, "gas": {"D1": [0.4, "млрд м3"], "D2": [0.9, "млрд м3"]}}</v>
    <v>2</v>
  </rv>
  <rv s="4">
    <fb t="s">{"oil": {"D1": [4.8, "млн т"], "D2": [0.2, "млн т"]}}</fb>
    <v>&lt;class 'str'&gt;</v>
    <v>str</v>
    <v>{"oil": {"D1": [4.8, "млн т"], "D2": [0.2, "млн т"]}}</v>
    <v>{"oil": {"D1": [4.8, "млн т"], "D2": [0.2, "млн т"]}}</v>
    <v>2</v>
  </rv>
  <rv s="4">
    <fb t="s">{"oil": {"D1": [5.1, "млн т"], "D2": [0.2, "млн т"]}}</fb>
    <v>&lt;class 'str'&gt;</v>
    <v>str</v>
    <v>{"oil": {"D1": [5.1, "млн т"], "D2": [0.2, "млн т"]}}</v>
    <v>{"oil": {"D1": [5.1, "млн т"], "D2": [0.2, "млн т"]}}</v>
    <v>2</v>
  </rv>
  <rv s="4">
    <fb t="s">{"oil": {"D1": [5.6, "млн т"], "D2": [0.3, "млн т"]}}</fb>
    <v>&lt;class 'str'&gt;</v>
    <v>str</v>
    <v>{"oil": {"D1": [5.6, "млн т"], "D2": [0.3, "млн т"]}}</v>
    <v>{"oil": {"D1": [5.6, "млн т"], "D2": [0.3, "млн т"]}}</v>
    <v>2</v>
  </rv>
  <rv s="4">
    <fb t="s">{"oil": {"D1": [14.8, "млн т"], "D2": [0.6, "млн т"]}, "gas": {"D1": [0.5, "млрд м3"], "D2": [1.0, "млрд м3"]}}</fb>
    <v>&lt;class 'str'&gt;</v>
    <v>str</v>
    <v>{"oil": {"D1": [14.8, "млн т"], "D2": [0.6, "млн т"]}, "gas": {"D1": [0.5, "млрд м3"], "D2": [1.0, "млрд м3"]}}</v>
    <v>{"oil": {"D1": [14.8, "млн т"], "D2": [0.6, "млн т"]}, "gas": {"D1": [0.5, "млрд м3"], "D2": [1.0, "млрд м3"]}}</v>
    <v>2</v>
  </rv>
  <rv s="4">
    <fb t="s">{"oil": {"D1": [16.1, "млн т"], "D2": [0.7, "млн т"]}, "gas": {"D1": [0.6, "млрд м3"], "D2": [1.1, "млрд м3"]}}</fb>
    <v>&lt;class 'str'&gt;</v>
    <v>str</v>
    <v>{"oil": {"D1": [16.1, "млн т"], "D2": [0.7, "млн т"]}, "gas": {"D1": [0.6, "млрд м3"], "D2": [1.1, "млрд м3"]}}</v>
    <v>{"oil": {"D1": [16.1, "млн т"], "D2": [0.7, "млн т"]}, "gas": {"D1": [0.6, "млрд м3"], "D2": [1.1, "млрд м3"]}}</v>
    <v>2</v>
  </rv>
  <rv s="4">
    <fb t="s">{"oil": {"D1": [3.7, "млн т"], "D2": [0.1, "млн т"]}}</fb>
    <v>&lt;class 'str'&gt;</v>
    <v>str</v>
    <v>{"oil": {"D1": [3.7, "млн т"], "D2": [0.1, "млн т"]}}</v>
    <v>{"oil": {"D1": [3.7, "млн т"], "D2": [0.1, "млн т"]}}</v>
    <v>2</v>
  </rv>
  <rv s="4">
    <fb t="s">{"gas": {"C1": [132.4, "млрд м3"]}, "cond": {"C1": [7.8, "млн т"]}}</fb>
    <v>&lt;class 'str'&gt;</v>
    <v>str</v>
    <v>{"gas": {"C1": [132.4, "млрд м3"]}, "cond": {"C1": [7.8, "млн т"]}}</v>
    <v>{"gas": {"C1": [132.4, "млрд м3"]}, "cond": {"C1": [7.8, "млн т"]}}</v>
    <v>2</v>
  </rv>
  <rv s="4">
    <fb t="s">{"gas": {"C1": [118.9, "млрд м3"]}, "cond": {"C1": [6.9, "млн т"]}}</fb>
    <v>&lt;class 'str'&gt;</v>
    <v>str</v>
    <v>{"gas": {"C1": [118.9, "млрд м3"]}, "cond": {"C1": [6.9, "млн т"]}}</v>
    <v>{"gas": {"C1": [118.9, "млрд м3"]}, "cond": {"C1": [6.9, "млн т"]}}</v>
    <v>2</v>
  </rv>
  <rv s="4">
    <fb t="s">{"gas": {"C1": [94.5, "млрд м3"]}, "cond": {"C1": [5.1, "млн т"]}}</fb>
    <v>&lt;class 'str'&gt;</v>
    <v>str</v>
    <v>{"gas": {"C1": [94.5, "млрд м3"]}, "cond": {"C1": [5.1, "млн т"]}}</v>
    <v>{"gas": {"C1": [94.5, "млрд м3"]}, "cond": {"C1": [5.1, "млн т"]}}</v>
    <v>2</v>
  </rv>
  <rv s="4">
    <fb t="s">{"gas": {"C1": [88.7, "млрд м3"]}, "cond": {"C1": [4.8, "млн т"]}}</fb>
    <v>&lt;class 'str'&gt;</v>
    <v>str</v>
    <v>{"gas": {"C1": [88.7, "млрд м3"]}, "cond": {"C1": [4.8, "млн т"]}}</v>
    <v>{"gas": {"C1": [88.7, "млрд м3"]}, "cond": {"C1": [4.8, "млн т"]}}</v>
    <v>2</v>
  </rv>
  <rv s="4">
    <fb t="s">{"oil": {"C1": [24.6, "млн т"]}, "gas": {"C1": [62.3, "млрд м3"]}, "cond": {"C1": [3.4, "млн т"]}}</fb>
    <v>&lt;class 'str'&gt;</v>
    <v>str</v>
    <v>{"oil": {"C1": [24.6, "млн т"]}, "gas": {"C1": [62.3, "млрд м3"]}, "cond": {"C1": [3.4, "млн т"]}}</v>
    <v>{"oil": {"C1": [24.6, "млн т"]}, "gas": {"C1": [62.3, "млрд м3"]}, "cond": {"C1": [3.4, "млн т"]}}</v>
    <v>2</v>
  </rv>
  <rv s="4">
    <fb t="s">{"gas": {"C1": [198.4, "млрд м3"]}, "cond": {"C1": [12.6, "млн т"]}}</fb>
    <v>&lt;class 'str'&gt;</v>
    <v>str</v>
    <v>{"gas": {"C1": [198.4, "млрд м3"]}, "cond": {"C1": [12.6, "млн т"]}}</v>
    <v>{"gas": {"C1": [198.4, "млрд м3"]}, "cond": {"C1": [12.6, "млн т"]}}</v>
    <v>2</v>
  </rv>
  <rv s="4">
    <fb t="s">{"gas": {"C1": [76.8, "млрд м3"]}}</fb>
    <v>&lt;class 'str'&gt;</v>
    <v>str</v>
    <v>{"gas": {"C1": [76.8, "млрд м3"]}}</v>
    <v>{"gas": {"C1": [76.8, "млрд м3"]}}</v>
    <v>2</v>
  </rv>
  <rv s="4">
    <fb t="s">{"gas": {"C1": [154.1, "млрд м3"]}, "cond": {"C1": [8.3, "млн т"]}}</fb>
    <v>&lt;class 'str'&gt;</v>
    <v>str</v>
    <v>{"gas": {"C1": [154.1, "млрд м3"]}, "cond": {"C1": [8.3, "млн т"]}}</v>
    <v>{"gas": {"C1": [154.1, "млрд м3"]}, "cond": {"C1": [8.3, "млн т"]}}</v>
    <v>2</v>
  </rv>
  <rv s="4">
    <fb t="s">{"oil": {"C1": [9.2, "млн т"]}, "gas": {"C1": [14.7, "млрд м3"]}}</fb>
    <v>&lt;class 'str'&gt;</v>
    <v>str</v>
    <v>{"oil": {"C1": [9.2, "млн т"]}, "gas": {"C1": [14.7, "млрд м3"]}}</v>
    <v>{"oil": {"C1": [9.2, "млн т"]}, "gas": {"C1": [14.7, "млрд м3"]}}</v>
    <v>2</v>
  </rv>
  <rv s="4">
    <fb t="s">{"gas": {"C1": [247.3, "млрд м3"]}, "cond": {"C1": [15.4, "млн т"]}}</fb>
    <v>&lt;class 'str'&gt;</v>
    <v>str</v>
    <v>{"gas": {"C1": [247.3, "млрд м3"]}, "cond": {"C1": [15.4, "млн т"]}}</v>
    <v>{"gas": {"C1": [247.3, "млрд м3"]}, "cond": {"C1": [15.4, "млн т"]}}</v>
    <v>2</v>
  </rv>
  <rv s="4">
    <fb t="s">{"gas": {"C1": [186.2, "млрд м3"]}, "cond": {"C1": [11.8, "млн т"]}}</fb>
    <v>&lt;class 'str'&gt;</v>
    <v>str</v>
    <v>{"gas": {"C1": [186.2, "млрд м3"]}, "cond": {"C1": [11.8, "млн т"]}}</v>
    <v>{"gas": {"C1": [186.2, "млрд м3"]}, "cond": {"C1": [11.8, "млн т"]}}</v>
    <v>2</v>
  </rv>
  <rv s="4">
    <fb t="s">{"gas": {"C1": [321.5, "млрд м3"]}, "cond": {"C1": [18.9, "млн т"]}}</fb>
    <v>&lt;class 'str'&gt;</v>
    <v>str</v>
    <v>{"gas": {"C1": [321.5, "млрд м3"]}, "cond": {"C1": [18.9, "млн т"]}}</v>
    <v>{"gas": {"C1": [321.5, "млрд м3"]}, "cond": {"C1": [18.9, "млн т"]}}</v>
    <v>2</v>
  </rv>
  <rv s="4">
    <fb t="s">{"gas": {"C1": [402.7, "млрд м3"]}, "cond": {"C1": [24.1, "млн т"]}}</fb>
    <v>&lt;class 'str'&gt;</v>
    <v>str</v>
    <v>{"gas": {"C1": [402.7, "млрд м3"]}, "cond": {"C1": [24.1, "млн т"]}}</v>
    <v>{"gas": {"C1": [402.7, "млрд м3"]}, "cond": {"C1": [24.1, "млн т"]}}</v>
    <v>2</v>
  </rv>
  <rv s="4">
    <fb t="s">{"gas": {"C1": [156.9, "млрд м3"]}, "cond": {"C1": [9.6, "млн т"]}}</fb>
    <v>&lt;class 'str'&gt;</v>
    <v>str</v>
    <v>{"gas": {"C1": [156.9, "млрд м3"]}, "cond": {"C1": [9.6, "млн т"]}}</v>
    <v>{"gas": {"C1": [156.9, "млрд м3"]}, "cond": {"C1": [9.6, "млн т"]}}</v>
    <v>2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7">
    <spb s="0">
      <v>150</v>
      <v>5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  <spb s="0">
      <v>8</v>
      <v>4</v>
      <v>DataFrame</v>
      <v>arrayPreview</v>
      <v>1</v>
    </spb>
    <spb s="1">
      <v>3</v>
    </spb>
    <spb s="0">
      <v>3</v>
      <v>1</v>
      <v>Series</v>
      <v>arrayPreview</v>
      <v>1</v>
    </spb>
    <spb s="1">
      <v>5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id="1" name="IrisDataSet" displayName="IrisDataSet" ref="A4:E154" totalsRowShown="0" headerRowDxfId="6" dataDxfId="5">
  <autoFilter ref="A4:E154"/>
  <tableColumns count="5">
    <tableColumn id="1" name="sepal_length" dataDxfId="4"/>
    <tableColumn id="2" name="sepal_width" dataDxfId="3"/>
    <tableColumn id="3" name="petal_length" dataDxfId="2"/>
    <tableColumn id="4" name="petal_width" dataDxfId="1"/>
    <tableColumn id="5" name="speci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osnedra.gov.ru/activity/informatsionnye-resursy-i-programmy/prognoznyy-perechen-uchastkov-nedr-uglevodorodnogo-syrya-auktsiony-po-kotorym-planiruetsya-provesti-202602/" TargetMode="External"/><Relationship Id="rId1" Type="http://schemas.openxmlformats.org/officeDocument/2006/relationships/hyperlink" Target="https://rosnedra.gov.ru/activity/informatsionnye-resursy-i-programmy/prognoznyy-perechen-uchastkov-nedr-uglevodorodnogo-syrya-auktsiony-po-kotorym-planiruetsya-provesti-2026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5"/>
  <sheetViews>
    <sheetView zoomScaleNormal="100" workbookViewId="0">
      <selection activeCell="H9" sqref="H9:H12"/>
    </sheetView>
  </sheetViews>
  <sheetFormatPr defaultRowHeight="14.25"/>
  <cols>
    <col min="1" max="1" width="13.7109375" style="6" bestFit="1" customWidth="1"/>
    <col min="2" max="2" width="13.140625" style="6" bestFit="1" customWidth="1"/>
    <col min="3" max="3" width="13.42578125" style="6" bestFit="1" customWidth="1"/>
    <col min="4" max="4" width="12.85546875" style="6" bestFit="1" customWidth="1"/>
    <col min="5" max="5" width="9.5703125" style="6" bestFit="1" customWidth="1"/>
    <col min="6" max="6" width="9.140625" style="6"/>
    <col min="7" max="10" width="32.85546875" style="6" customWidth="1"/>
    <col min="11" max="16384" width="9.140625" style="6"/>
  </cols>
  <sheetData>
    <row r="1" spans="1:10" ht="23.25">
      <c r="A1" s="25" t="s">
        <v>33</v>
      </c>
      <c r="B1" s="25"/>
      <c r="C1" s="25"/>
      <c r="D1" s="25"/>
      <c r="E1" s="25"/>
      <c r="F1" s="25"/>
      <c r="G1" s="25"/>
    </row>
    <row r="3" spans="1:10" ht="23.25">
      <c r="A3" s="12" t="s">
        <v>32</v>
      </c>
      <c r="B3" s="11"/>
      <c r="C3" s="10"/>
      <c r="G3" s="27" t="s">
        <v>31</v>
      </c>
      <c r="H3" s="27"/>
    </row>
    <row r="4" spans="1:10" ht="15">
      <c r="A4" s="6" t="s">
        <v>30</v>
      </c>
      <c r="B4" s="6" t="s">
        <v>29</v>
      </c>
      <c r="C4" s="6" t="s">
        <v>28</v>
      </c>
      <c r="D4" s="6" t="s">
        <v>27</v>
      </c>
      <c r="E4" s="6" t="s">
        <v>26</v>
      </c>
      <c r="G4" s="9" t="s">
        <v>25</v>
      </c>
      <c r="H4" s="8" t="s">
        <v>24</v>
      </c>
      <c r="I4" s="8" t="s">
        <v>23</v>
      </c>
      <c r="J4" s="7" t="s">
        <v>22</v>
      </c>
    </row>
    <row r="5" spans="1:10">
      <c r="A5" s="6">
        <v>5.0999999999999996</v>
      </c>
      <c r="B5" s="6">
        <v>3.5</v>
      </c>
      <c r="C5" s="6">
        <v>1.4</v>
      </c>
      <c r="D5" s="6">
        <v>0.2</v>
      </c>
      <c r="E5" s="6" t="s">
        <v>11</v>
      </c>
      <c r="G5" s="24" t="s">
        <v>21</v>
      </c>
      <c r="H5" s="17" t="e" cm="1" vm="1">
        <f t="array" ref="H5">_xlfn._xlws.PY(0,1,IrisDataSet[#All])</f>
        <v>#VALUE!</v>
      </c>
      <c r="I5" s="18" t="s">
        <v>20</v>
      </c>
      <c r="J5" s="16"/>
    </row>
    <row r="6" spans="1:10">
      <c r="A6" s="6">
        <v>4.9000000000000004</v>
      </c>
      <c r="B6" s="6">
        <v>3</v>
      </c>
      <c r="C6" s="6">
        <v>1.4</v>
      </c>
      <c r="D6" s="6">
        <v>0.2</v>
      </c>
      <c r="E6" s="6" t="s">
        <v>11</v>
      </c>
      <c r="G6" s="24"/>
      <c r="H6" s="17"/>
      <c r="I6" s="18"/>
      <c r="J6" s="16"/>
    </row>
    <row r="7" spans="1:10">
      <c r="A7" s="6">
        <v>4.7</v>
      </c>
      <c r="B7" s="6">
        <v>3.2</v>
      </c>
      <c r="C7" s="6">
        <v>1.3</v>
      </c>
      <c r="D7" s="6">
        <v>0.2</v>
      </c>
      <c r="E7" s="6" t="s">
        <v>11</v>
      </c>
      <c r="G7" s="24"/>
      <c r="H7" s="17"/>
      <c r="I7" s="18"/>
      <c r="J7" s="16"/>
    </row>
    <row r="8" spans="1:10">
      <c r="A8" s="6">
        <v>4.5999999999999996</v>
      </c>
      <c r="B8" s="6">
        <v>3.1</v>
      </c>
      <c r="C8" s="6">
        <v>1.5</v>
      </c>
      <c r="D8" s="6">
        <v>0.2</v>
      </c>
      <c r="E8" s="6" t="s">
        <v>11</v>
      </c>
      <c r="G8" s="24"/>
      <c r="H8" s="17"/>
      <c r="I8" s="18"/>
      <c r="J8" s="16"/>
    </row>
    <row r="9" spans="1:10">
      <c r="A9" s="6">
        <v>5</v>
      </c>
      <c r="B9" s="6">
        <v>3.6</v>
      </c>
      <c r="C9" s="6">
        <v>1.4</v>
      </c>
      <c r="D9" s="6">
        <v>0.2</v>
      </c>
      <c r="E9" s="6" t="s">
        <v>11</v>
      </c>
      <c r="G9" s="23" t="s">
        <v>19</v>
      </c>
      <c r="H9" s="17" t="e" cm="1" vm="2">
        <f t="array" ref="H9">_xlfn._xlws.PY(1,1)</f>
        <v>#VALUE!</v>
      </c>
      <c r="I9" s="18" t="s">
        <v>18</v>
      </c>
      <c r="J9" s="16"/>
    </row>
    <row r="10" spans="1:10">
      <c r="A10" s="6">
        <v>5.4</v>
      </c>
      <c r="B10" s="6">
        <v>3.9</v>
      </c>
      <c r="C10" s="6">
        <v>1.7</v>
      </c>
      <c r="D10" s="6">
        <v>0.4</v>
      </c>
      <c r="E10" s="6" t="s">
        <v>11</v>
      </c>
      <c r="G10" s="24"/>
      <c r="H10" s="17"/>
      <c r="I10" s="18"/>
      <c r="J10" s="16"/>
    </row>
    <row r="11" spans="1:10">
      <c r="A11" s="6">
        <v>4.5999999999999996</v>
      </c>
      <c r="B11" s="6">
        <v>3.4</v>
      </c>
      <c r="C11" s="6">
        <v>1.4</v>
      </c>
      <c r="D11" s="6">
        <v>0.3</v>
      </c>
      <c r="E11" s="6" t="s">
        <v>11</v>
      </c>
      <c r="G11" s="24"/>
      <c r="H11" s="17"/>
      <c r="I11" s="18"/>
      <c r="J11" s="16"/>
    </row>
    <row r="12" spans="1:10">
      <c r="A12" s="6">
        <v>5</v>
      </c>
      <c r="B12" s="6">
        <v>3.4</v>
      </c>
      <c r="C12" s="6">
        <v>1.5</v>
      </c>
      <c r="D12" s="6">
        <v>0.2</v>
      </c>
      <c r="E12" s="6" t="s">
        <v>11</v>
      </c>
      <c r="G12" s="24"/>
      <c r="H12" s="17"/>
      <c r="I12" s="18"/>
      <c r="J12" s="16"/>
    </row>
    <row r="13" spans="1:10">
      <c r="A13" s="6">
        <v>4.4000000000000004</v>
      </c>
      <c r="B13" s="6">
        <v>2.9</v>
      </c>
      <c r="C13" s="6">
        <v>1.4</v>
      </c>
      <c r="D13" s="6">
        <v>0.2</v>
      </c>
      <c r="E13" s="6" t="s">
        <v>11</v>
      </c>
      <c r="G13" s="23" t="s">
        <v>17</v>
      </c>
      <c r="H13" s="17" t="e" cm="1" vm="3">
        <f t="array" ref="H13">_xlfn._xlws.PY(2,1)</f>
        <v>#VALUE!</v>
      </c>
      <c r="I13" s="18" t="s">
        <v>16</v>
      </c>
      <c r="J13" s="22"/>
    </row>
    <row r="14" spans="1:10">
      <c r="A14" s="6">
        <v>4.9000000000000004</v>
      </c>
      <c r="B14" s="6">
        <v>3.1</v>
      </c>
      <c r="C14" s="6">
        <v>1.5</v>
      </c>
      <c r="D14" s="6">
        <v>0.1</v>
      </c>
      <c r="E14" s="6" t="s">
        <v>11</v>
      </c>
      <c r="G14" s="24"/>
      <c r="H14" s="17"/>
      <c r="I14" s="18"/>
      <c r="J14" s="22"/>
    </row>
    <row r="15" spans="1:10">
      <c r="A15" s="6">
        <v>5.4</v>
      </c>
      <c r="B15" s="6">
        <v>3.7</v>
      </c>
      <c r="C15" s="6">
        <v>1.5</v>
      </c>
      <c r="D15" s="6">
        <v>0.2</v>
      </c>
      <c r="E15" s="6" t="s">
        <v>11</v>
      </c>
      <c r="G15" s="24"/>
      <c r="H15" s="17"/>
      <c r="I15" s="18"/>
      <c r="J15" s="22"/>
    </row>
    <row r="16" spans="1:10">
      <c r="A16" s="6">
        <v>4.8</v>
      </c>
      <c r="B16" s="6">
        <v>3.4</v>
      </c>
      <c r="C16" s="6">
        <v>1.6</v>
      </c>
      <c r="D16" s="6">
        <v>0.2</v>
      </c>
      <c r="E16" s="6" t="s">
        <v>11</v>
      </c>
      <c r="G16" s="24"/>
      <c r="H16" s="17"/>
      <c r="I16" s="18"/>
      <c r="J16" s="22"/>
    </row>
    <row r="17" spans="1:10">
      <c r="A17" s="6">
        <v>4.8</v>
      </c>
      <c r="B17" s="6">
        <v>3</v>
      </c>
      <c r="C17" s="6">
        <v>1.4</v>
      </c>
      <c r="D17" s="6">
        <v>0.1</v>
      </c>
      <c r="E17" s="6" t="s">
        <v>11</v>
      </c>
      <c r="G17" s="24"/>
      <c r="H17" s="17"/>
      <c r="I17" s="18"/>
      <c r="J17" s="22"/>
    </row>
    <row r="18" spans="1:10">
      <c r="A18" s="6">
        <v>4.3</v>
      </c>
      <c r="B18" s="6">
        <v>3</v>
      </c>
      <c r="C18" s="6">
        <v>1.1000000000000001</v>
      </c>
      <c r="D18" s="6">
        <v>0.1</v>
      </c>
      <c r="E18" s="6" t="s">
        <v>11</v>
      </c>
      <c r="G18" s="23" t="s">
        <v>15</v>
      </c>
      <c r="H18" s="24" t="e" cm="1" vm="4">
        <f t="array" ref="H18">_xlfn._xlws.PY(3,0)</f>
        <v>#VALUE!</v>
      </c>
      <c r="I18" s="18" t="s">
        <v>14</v>
      </c>
      <c r="J18" s="16"/>
    </row>
    <row r="19" spans="1:10">
      <c r="A19" s="6">
        <v>5.8</v>
      </c>
      <c r="B19" s="6">
        <v>4</v>
      </c>
      <c r="C19" s="6">
        <v>1.2</v>
      </c>
      <c r="D19" s="6">
        <v>0.2</v>
      </c>
      <c r="E19" s="6" t="s">
        <v>11</v>
      </c>
      <c r="G19" s="24"/>
      <c r="H19" s="24"/>
      <c r="I19" s="18"/>
      <c r="J19" s="16"/>
    </row>
    <row r="20" spans="1:10">
      <c r="A20" s="6">
        <v>5.7</v>
      </c>
      <c r="B20" s="6">
        <v>4.4000000000000004</v>
      </c>
      <c r="C20" s="6">
        <v>1.5</v>
      </c>
      <c r="D20" s="6">
        <v>0.4</v>
      </c>
      <c r="E20" s="6" t="s">
        <v>11</v>
      </c>
      <c r="G20" s="24"/>
      <c r="H20" s="24"/>
      <c r="I20" s="18"/>
      <c r="J20" s="16"/>
    </row>
    <row r="21" spans="1:10">
      <c r="A21" s="6">
        <v>5.4</v>
      </c>
      <c r="B21" s="6">
        <v>3.9</v>
      </c>
      <c r="C21" s="6">
        <v>1.3</v>
      </c>
      <c r="D21" s="6">
        <v>0.4</v>
      </c>
      <c r="E21" s="6" t="s">
        <v>11</v>
      </c>
      <c r="G21" s="24"/>
      <c r="H21" s="24"/>
      <c r="I21" s="18"/>
      <c r="J21" s="16"/>
    </row>
    <row r="22" spans="1:10">
      <c r="A22" s="6">
        <v>5.0999999999999996</v>
      </c>
      <c r="B22" s="6">
        <v>3.5</v>
      </c>
      <c r="C22" s="6">
        <v>1.4</v>
      </c>
      <c r="D22" s="6">
        <v>0.3</v>
      </c>
      <c r="E22" s="6" t="s">
        <v>11</v>
      </c>
      <c r="G22" s="24"/>
      <c r="H22" s="24"/>
      <c r="I22" s="18"/>
      <c r="J22" s="16"/>
    </row>
    <row r="23" spans="1:10">
      <c r="A23" s="6">
        <v>5.7</v>
      </c>
      <c r="B23" s="6">
        <v>3.8</v>
      </c>
      <c r="C23" s="6">
        <v>1.7</v>
      </c>
      <c r="D23" s="6">
        <v>0.3</v>
      </c>
      <c r="E23" s="6" t="s">
        <v>11</v>
      </c>
      <c r="G23" s="24"/>
      <c r="H23" s="24"/>
      <c r="I23" s="18"/>
      <c r="J23" s="16"/>
    </row>
    <row r="24" spans="1:10">
      <c r="A24" s="6">
        <v>5.0999999999999996</v>
      </c>
      <c r="B24" s="6">
        <v>3.8</v>
      </c>
      <c r="C24" s="6">
        <v>1.5</v>
      </c>
      <c r="D24" s="6">
        <v>0.3</v>
      </c>
      <c r="E24" s="6" t="s">
        <v>11</v>
      </c>
      <c r="G24" s="24"/>
      <c r="H24" s="24"/>
      <c r="I24" s="18"/>
      <c r="J24" s="16"/>
    </row>
    <row r="25" spans="1:10">
      <c r="A25" s="6">
        <v>5.4</v>
      </c>
      <c r="B25" s="6">
        <v>3.4</v>
      </c>
      <c r="C25" s="6">
        <v>1.7</v>
      </c>
      <c r="D25" s="6">
        <v>0.2</v>
      </c>
      <c r="E25" s="6" t="s">
        <v>11</v>
      </c>
      <c r="G25" s="24"/>
      <c r="H25" s="24"/>
      <c r="I25" s="18"/>
      <c r="J25" s="16"/>
    </row>
    <row r="26" spans="1:10">
      <c r="A26" s="6">
        <v>5.0999999999999996</v>
      </c>
      <c r="B26" s="6">
        <v>3.7</v>
      </c>
      <c r="C26" s="6">
        <v>1.5</v>
      </c>
      <c r="D26" s="6">
        <v>0.4</v>
      </c>
      <c r="E26" s="6" t="s">
        <v>11</v>
      </c>
      <c r="G26" s="24"/>
      <c r="H26" s="24"/>
      <c r="I26" s="18"/>
      <c r="J26" s="16"/>
    </row>
    <row r="27" spans="1:10">
      <c r="A27" s="6">
        <v>4.5999999999999996</v>
      </c>
      <c r="B27" s="6">
        <v>3.6</v>
      </c>
      <c r="C27" s="6">
        <v>1</v>
      </c>
      <c r="D27" s="6">
        <v>0.2</v>
      </c>
      <c r="E27" s="6" t="s">
        <v>11</v>
      </c>
      <c r="G27" s="24" t="s">
        <v>13</v>
      </c>
      <c r="H27" s="17" t="e" cm="1" vm="5">
        <f t="array" ref="H27">_xlfn._xlws.PY(4,0)</f>
        <v>#VALUE!</v>
      </c>
      <c r="I27" s="18" t="s">
        <v>12</v>
      </c>
      <c r="J27" s="19"/>
    </row>
    <row r="28" spans="1:10">
      <c r="A28" s="6">
        <v>5.0999999999999996</v>
      </c>
      <c r="B28" s="6">
        <v>3.3</v>
      </c>
      <c r="C28" s="6">
        <v>1.7</v>
      </c>
      <c r="D28" s="6">
        <v>0.5</v>
      </c>
      <c r="E28" s="6" t="s">
        <v>11</v>
      </c>
      <c r="G28" s="24"/>
      <c r="H28" s="17"/>
      <c r="I28" s="18"/>
      <c r="J28" s="20"/>
    </row>
    <row r="29" spans="1:10">
      <c r="A29" s="6">
        <v>4.8</v>
      </c>
      <c r="B29" s="6">
        <v>3.4</v>
      </c>
      <c r="C29" s="6">
        <v>1.9</v>
      </c>
      <c r="D29" s="6">
        <v>0.2</v>
      </c>
      <c r="E29" s="6" t="s">
        <v>11</v>
      </c>
      <c r="G29" s="24"/>
      <c r="H29" s="17"/>
      <c r="I29" s="18"/>
      <c r="J29" s="20"/>
    </row>
    <row r="30" spans="1:10">
      <c r="A30" s="6">
        <v>5</v>
      </c>
      <c r="B30" s="6">
        <v>3</v>
      </c>
      <c r="C30" s="6">
        <v>1.6</v>
      </c>
      <c r="D30" s="6">
        <v>0.2</v>
      </c>
      <c r="E30" s="6" t="s">
        <v>11</v>
      </c>
      <c r="G30" s="24"/>
      <c r="H30" s="17"/>
      <c r="I30" s="18"/>
      <c r="J30" s="20"/>
    </row>
    <row r="31" spans="1:10">
      <c r="A31" s="6">
        <v>5</v>
      </c>
      <c r="B31" s="6">
        <v>3.4</v>
      </c>
      <c r="C31" s="6">
        <v>1.6</v>
      </c>
      <c r="D31" s="6">
        <v>0.4</v>
      </c>
      <c r="E31" s="6" t="s">
        <v>11</v>
      </c>
      <c r="G31" s="24"/>
      <c r="H31" s="17"/>
      <c r="I31" s="18"/>
      <c r="J31" s="20"/>
    </row>
    <row r="32" spans="1:10">
      <c r="A32" s="6">
        <v>5.2</v>
      </c>
      <c r="B32" s="6">
        <v>3.5</v>
      </c>
      <c r="C32" s="6">
        <v>1.5</v>
      </c>
      <c r="D32" s="6">
        <v>0.2</v>
      </c>
      <c r="E32" s="6" t="s">
        <v>11</v>
      </c>
      <c r="G32" s="24"/>
      <c r="H32" s="17"/>
      <c r="I32" s="18"/>
      <c r="J32" s="20"/>
    </row>
    <row r="33" spans="1:10">
      <c r="A33" s="6">
        <v>5.2</v>
      </c>
      <c r="B33" s="6">
        <v>3.4</v>
      </c>
      <c r="C33" s="6">
        <v>1.4</v>
      </c>
      <c r="D33" s="6">
        <v>0.2</v>
      </c>
      <c r="E33" s="6" t="s">
        <v>11</v>
      </c>
      <c r="G33" s="24"/>
      <c r="H33" s="17"/>
      <c r="I33" s="18"/>
      <c r="J33" s="20"/>
    </row>
    <row r="34" spans="1:10">
      <c r="A34" s="6">
        <v>4.7</v>
      </c>
      <c r="B34" s="6">
        <v>3.2</v>
      </c>
      <c r="C34" s="6">
        <v>1.6</v>
      </c>
      <c r="D34" s="6">
        <v>0.2</v>
      </c>
      <c r="E34" s="6" t="s">
        <v>11</v>
      </c>
      <c r="G34" s="24"/>
      <c r="H34" s="17"/>
      <c r="I34" s="18"/>
      <c r="J34" s="20"/>
    </row>
    <row r="35" spans="1:10">
      <c r="A35" s="6">
        <v>4.8</v>
      </c>
      <c r="B35" s="6">
        <v>3.1</v>
      </c>
      <c r="C35" s="6">
        <v>1.6</v>
      </c>
      <c r="D35" s="6">
        <v>0.2</v>
      </c>
      <c r="E35" s="6" t="s">
        <v>11</v>
      </c>
      <c r="G35" s="24"/>
      <c r="H35" s="17"/>
      <c r="I35" s="18"/>
      <c r="J35" s="20"/>
    </row>
    <row r="36" spans="1:10">
      <c r="A36" s="6">
        <v>5.4</v>
      </c>
      <c r="B36" s="6">
        <v>3.4</v>
      </c>
      <c r="C36" s="6">
        <v>1.5</v>
      </c>
      <c r="D36" s="6">
        <v>0.4</v>
      </c>
      <c r="E36" s="6" t="s">
        <v>11</v>
      </c>
      <c r="G36" s="24"/>
      <c r="H36" s="17"/>
      <c r="I36" s="18"/>
      <c r="J36" s="20"/>
    </row>
    <row r="37" spans="1:10">
      <c r="A37" s="6">
        <v>5.2</v>
      </c>
      <c r="B37" s="6">
        <v>4.0999999999999996</v>
      </c>
      <c r="C37" s="6">
        <v>1.5</v>
      </c>
      <c r="D37" s="6">
        <v>0.1</v>
      </c>
      <c r="E37" s="6" t="s">
        <v>11</v>
      </c>
      <c r="G37" s="24"/>
      <c r="H37" s="17"/>
      <c r="I37" s="18"/>
      <c r="J37" s="20"/>
    </row>
    <row r="38" spans="1:10">
      <c r="A38" s="6">
        <v>5.5</v>
      </c>
      <c r="B38" s="6">
        <v>4.2</v>
      </c>
      <c r="C38" s="6">
        <v>1.4</v>
      </c>
      <c r="D38" s="6">
        <v>0.2</v>
      </c>
      <c r="E38" s="6" t="s">
        <v>11</v>
      </c>
      <c r="G38" s="24"/>
      <c r="H38" s="17"/>
      <c r="I38" s="18"/>
      <c r="J38" s="20"/>
    </row>
    <row r="39" spans="1:10">
      <c r="A39" s="6">
        <v>4.9000000000000004</v>
      </c>
      <c r="B39" s="6">
        <v>3.1</v>
      </c>
      <c r="C39" s="6">
        <v>1.5</v>
      </c>
      <c r="D39" s="6">
        <v>0.1</v>
      </c>
      <c r="E39" s="6" t="s">
        <v>11</v>
      </c>
      <c r="G39" s="24"/>
      <c r="H39" s="17"/>
      <c r="I39" s="18"/>
      <c r="J39" s="20"/>
    </row>
    <row r="40" spans="1:10">
      <c r="A40" s="6">
        <v>5</v>
      </c>
      <c r="B40" s="6">
        <v>3.2</v>
      </c>
      <c r="C40" s="6">
        <v>1.2</v>
      </c>
      <c r="D40" s="6">
        <v>0.2</v>
      </c>
      <c r="E40" s="6" t="s">
        <v>11</v>
      </c>
      <c r="G40" s="24"/>
      <c r="H40" s="17"/>
      <c r="I40" s="18"/>
      <c r="J40" s="21"/>
    </row>
    <row r="41" spans="1:10">
      <c r="A41" s="6">
        <v>5.5</v>
      </c>
      <c r="B41" s="6">
        <v>3.5</v>
      </c>
      <c r="C41" s="6">
        <v>1.3</v>
      </c>
      <c r="D41" s="6">
        <v>0.2</v>
      </c>
      <c r="E41" s="6" t="s">
        <v>11</v>
      </c>
    </row>
    <row r="42" spans="1:10">
      <c r="A42" s="6">
        <v>4.9000000000000004</v>
      </c>
      <c r="B42" s="6">
        <v>3.1</v>
      </c>
      <c r="C42" s="6">
        <v>1.5</v>
      </c>
      <c r="D42" s="6">
        <v>0.1</v>
      </c>
      <c r="E42" s="6" t="s">
        <v>11</v>
      </c>
    </row>
    <row r="43" spans="1:10">
      <c r="A43" s="6">
        <v>4.4000000000000004</v>
      </c>
      <c r="B43" s="6">
        <v>3</v>
      </c>
      <c r="C43" s="6">
        <v>1.3</v>
      </c>
      <c r="D43" s="6">
        <v>0.2</v>
      </c>
      <c r="E43" s="6" t="s">
        <v>11</v>
      </c>
    </row>
    <row r="44" spans="1:10">
      <c r="A44" s="6">
        <v>5.0999999999999996</v>
      </c>
      <c r="B44" s="6">
        <v>3.4</v>
      </c>
      <c r="C44" s="6">
        <v>1.5</v>
      </c>
      <c r="D44" s="6">
        <v>0.2</v>
      </c>
      <c r="E44" s="6" t="s">
        <v>11</v>
      </c>
    </row>
    <row r="45" spans="1:10">
      <c r="A45" s="6">
        <v>5</v>
      </c>
      <c r="B45" s="6">
        <v>3.5</v>
      </c>
      <c r="C45" s="6">
        <v>1.3</v>
      </c>
      <c r="D45" s="6">
        <v>0.3</v>
      </c>
      <c r="E45" s="6" t="s">
        <v>11</v>
      </c>
    </row>
    <row r="46" spans="1:10">
      <c r="A46" s="6">
        <v>4.5</v>
      </c>
      <c r="B46" s="6">
        <v>2.2999999999999998</v>
      </c>
      <c r="C46" s="6">
        <v>1.3</v>
      </c>
      <c r="D46" s="6">
        <v>0.3</v>
      </c>
      <c r="E46" s="6" t="s">
        <v>11</v>
      </c>
    </row>
    <row r="47" spans="1:10">
      <c r="A47" s="6">
        <v>4.4000000000000004</v>
      </c>
      <c r="B47" s="6">
        <v>3.2</v>
      </c>
      <c r="C47" s="6">
        <v>1.3</v>
      </c>
      <c r="D47" s="6">
        <v>0.2</v>
      </c>
      <c r="E47" s="6" t="s">
        <v>11</v>
      </c>
    </row>
    <row r="48" spans="1:10">
      <c r="A48" s="6">
        <v>5</v>
      </c>
      <c r="B48" s="6">
        <v>3.5</v>
      </c>
      <c r="C48" s="6">
        <v>1.6</v>
      </c>
      <c r="D48" s="6">
        <v>0.6</v>
      </c>
      <c r="E48" s="6" t="s">
        <v>11</v>
      </c>
    </row>
    <row r="49" spans="1:5">
      <c r="A49" s="6">
        <v>5.0999999999999996</v>
      </c>
      <c r="B49" s="6">
        <v>3.8</v>
      </c>
      <c r="C49" s="6">
        <v>1.9</v>
      </c>
      <c r="D49" s="6">
        <v>0.4</v>
      </c>
      <c r="E49" s="6" t="s">
        <v>11</v>
      </c>
    </row>
    <row r="50" spans="1:5">
      <c r="A50" s="6">
        <v>4.8</v>
      </c>
      <c r="B50" s="6">
        <v>3</v>
      </c>
      <c r="C50" s="6">
        <v>1.4</v>
      </c>
      <c r="D50" s="6">
        <v>0.3</v>
      </c>
      <c r="E50" s="6" t="s">
        <v>11</v>
      </c>
    </row>
    <row r="51" spans="1:5">
      <c r="A51" s="6">
        <v>5.0999999999999996</v>
      </c>
      <c r="B51" s="6">
        <v>3.8</v>
      </c>
      <c r="C51" s="6">
        <v>1.6</v>
      </c>
      <c r="D51" s="6">
        <v>0.2</v>
      </c>
      <c r="E51" s="6" t="s">
        <v>11</v>
      </c>
    </row>
    <row r="52" spans="1:5">
      <c r="A52" s="6">
        <v>4.5999999999999996</v>
      </c>
      <c r="B52" s="6">
        <v>3.2</v>
      </c>
      <c r="C52" s="6">
        <v>1.4</v>
      </c>
      <c r="D52" s="6">
        <v>0.2</v>
      </c>
      <c r="E52" s="6" t="s">
        <v>11</v>
      </c>
    </row>
    <row r="53" spans="1:5">
      <c r="A53" s="6">
        <v>5.3</v>
      </c>
      <c r="B53" s="6">
        <v>3.7</v>
      </c>
      <c r="C53" s="6">
        <v>1.5</v>
      </c>
      <c r="D53" s="6">
        <v>0.2</v>
      </c>
      <c r="E53" s="6" t="s">
        <v>11</v>
      </c>
    </row>
    <row r="54" spans="1:5">
      <c r="A54" s="6">
        <v>5</v>
      </c>
      <c r="B54" s="6">
        <v>3.3</v>
      </c>
      <c r="C54" s="6">
        <v>1.4</v>
      </c>
      <c r="D54" s="6">
        <v>0.2</v>
      </c>
      <c r="E54" s="6" t="s">
        <v>11</v>
      </c>
    </row>
    <row r="55" spans="1:5">
      <c r="A55" s="6">
        <v>7</v>
      </c>
      <c r="B55" s="6">
        <v>3.2</v>
      </c>
      <c r="C55" s="6">
        <v>4.7</v>
      </c>
      <c r="D55" s="6">
        <v>1.4</v>
      </c>
      <c r="E55" s="6" t="s">
        <v>10</v>
      </c>
    </row>
    <row r="56" spans="1:5">
      <c r="A56" s="6">
        <v>6.4</v>
      </c>
      <c r="B56" s="6">
        <v>3.2</v>
      </c>
      <c r="C56" s="6">
        <v>4.5</v>
      </c>
      <c r="D56" s="6">
        <v>1.5</v>
      </c>
      <c r="E56" s="6" t="s">
        <v>10</v>
      </c>
    </row>
    <row r="57" spans="1:5">
      <c r="A57" s="6">
        <v>6.9</v>
      </c>
      <c r="B57" s="6">
        <v>3.1</v>
      </c>
      <c r="C57" s="6">
        <v>4.9000000000000004</v>
      </c>
      <c r="D57" s="6">
        <v>1.5</v>
      </c>
      <c r="E57" s="6" t="s">
        <v>10</v>
      </c>
    </row>
    <row r="58" spans="1:5">
      <c r="A58" s="6">
        <v>5.5</v>
      </c>
      <c r="B58" s="6">
        <v>2.2999999999999998</v>
      </c>
      <c r="C58" s="6">
        <v>4</v>
      </c>
      <c r="D58" s="6">
        <v>1.3</v>
      </c>
      <c r="E58" s="6" t="s">
        <v>10</v>
      </c>
    </row>
    <row r="59" spans="1:5">
      <c r="A59" s="6">
        <v>6.5</v>
      </c>
      <c r="B59" s="6">
        <v>2.8</v>
      </c>
      <c r="C59" s="6">
        <v>4.5999999999999996</v>
      </c>
      <c r="D59" s="6">
        <v>1.5</v>
      </c>
      <c r="E59" s="6" t="s">
        <v>10</v>
      </c>
    </row>
    <row r="60" spans="1:5">
      <c r="A60" s="6">
        <v>5.7</v>
      </c>
      <c r="B60" s="6">
        <v>2.8</v>
      </c>
      <c r="C60" s="6">
        <v>4.5</v>
      </c>
      <c r="D60" s="6">
        <v>1.3</v>
      </c>
      <c r="E60" s="6" t="s">
        <v>10</v>
      </c>
    </row>
    <row r="61" spans="1:5">
      <c r="A61" s="6">
        <v>6.3</v>
      </c>
      <c r="B61" s="6">
        <v>3.3</v>
      </c>
      <c r="C61" s="6">
        <v>4.7</v>
      </c>
      <c r="D61" s="6">
        <v>1.6</v>
      </c>
      <c r="E61" s="6" t="s">
        <v>10</v>
      </c>
    </row>
    <row r="62" spans="1:5">
      <c r="A62" s="6">
        <v>4.9000000000000004</v>
      </c>
      <c r="B62" s="6">
        <v>2.4</v>
      </c>
      <c r="C62" s="6">
        <v>3.3</v>
      </c>
      <c r="D62" s="6">
        <v>1</v>
      </c>
      <c r="E62" s="6" t="s">
        <v>10</v>
      </c>
    </row>
    <row r="63" spans="1:5">
      <c r="A63" s="6">
        <v>6.6</v>
      </c>
      <c r="B63" s="6">
        <v>2.9</v>
      </c>
      <c r="C63" s="6">
        <v>4.5999999999999996</v>
      </c>
      <c r="D63" s="6">
        <v>1.3</v>
      </c>
      <c r="E63" s="6" t="s">
        <v>10</v>
      </c>
    </row>
    <row r="64" spans="1:5">
      <c r="A64" s="6">
        <v>5.2</v>
      </c>
      <c r="B64" s="6">
        <v>2.7</v>
      </c>
      <c r="C64" s="6">
        <v>3.9</v>
      </c>
      <c r="D64" s="6">
        <v>1.4</v>
      </c>
      <c r="E64" s="6" t="s">
        <v>10</v>
      </c>
    </row>
    <row r="65" spans="1:5">
      <c r="A65" s="6">
        <v>5</v>
      </c>
      <c r="B65" s="6">
        <v>2</v>
      </c>
      <c r="C65" s="6">
        <v>3.5</v>
      </c>
      <c r="D65" s="6">
        <v>1</v>
      </c>
      <c r="E65" s="6" t="s">
        <v>10</v>
      </c>
    </row>
    <row r="66" spans="1:5">
      <c r="A66" s="6">
        <v>5.9</v>
      </c>
      <c r="B66" s="6">
        <v>3</v>
      </c>
      <c r="C66" s="6">
        <v>4.2</v>
      </c>
      <c r="D66" s="6">
        <v>1.5</v>
      </c>
      <c r="E66" s="6" t="s">
        <v>10</v>
      </c>
    </row>
    <row r="67" spans="1:5">
      <c r="A67" s="6">
        <v>6</v>
      </c>
      <c r="B67" s="6">
        <v>2.2000000000000002</v>
      </c>
      <c r="C67" s="6">
        <v>4</v>
      </c>
      <c r="D67" s="6">
        <v>1</v>
      </c>
      <c r="E67" s="6" t="s">
        <v>10</v>
      </c>
    </row>
    <row r="68" spans="1:5">
      <c r="A68" s="6">
        <v>6.1</v>
      </c>
      <c r="B68" s="6">
        <v>2.9</v>
      </c>
      <c r="C68" s="6">
        <v>4.7</v>
      </c>
      <c r="D68" s="6">
        <v>1.4</v>
      </c>
      <c r="E68" s="6" t="s">
        <v>10</v>
      </c>
    </row>
    <row r="69" spans="1:5">
      <c r="A69" s="6">
        <v>5.6</v>
      </c>
      <c r="B69" s="6">
        <v>2.9</v>
      </c>
      <c r="C69" s="6">
        <v>3.6</v>
      </c>
      <c r="D69" s="6">
        <v>1.3</v>
      </c>
      <c r="E69" s="6" t="s">
        <v>10</v>
      </c>
    </row>
    <row r="70" spans="1:5">
      <c r="A70" s="6">
        <v>6.7</v>
      </c>
      <c r="B70" s="6">
        <v>3.1</v>
      </c>
      <c r="C70" s="6">
        <v>4.4000000000000004</v>
      </c>
      <c r="D70" s="6">
        <v>1.4</v>
      </c>
      <c r="E70" s="6" t="s">
        <v>10</v>
      </c>
    </row>
    <row r="71" spans="1:5">
      <c r="A71" s="6">
        <v>5.6</v>
      </c>
      <c r="B71" s="6">
        <v>3</v>
      </c>
      <c r="C71" s="6">
        <v>4.5</v>
      </c>
      <c r="D71" s="6">
        <v>1.5</v>
      </c>
      <c r="E71" s="6" t="s">
        <v>10</v>
      </c>
    </row>
    <row r="72" spans="1:5">
      <c r="A72" s="6">
        <v>5.8</v>
      </c>
      <c r="B72" s="6">
        <v>2.7</v>
      </c>
      <c r="C72" s="6">
        <v>4.0999999999999996</v>
      </c>
      <c r="D72" s="6">
        <v>1</v>
      </c>
      <c r="E72" s="6" t="s">
        <v>10</v>
      </c>
    </row>
    <row r="73" spans="1:5">
      <c r="A73" s="6">
        <v>6.2</v>
      </c>
      <c r="B73" s="6">
        <v>2.2000000000000002</v>
      </c>
      <c r="C73" s="6">
        <v>4.5</v>
      </c>
      <c r="D73" s="6">
        <v>1.5</v>
      </c>
      <c r="E73" s="6" t="s">
        <v>10</v>
      </c>
    </row>
    <row r="74" spans="1:5">
      <c r="A74" s="6">
        <v>5.6</v>
      </c>
      <c r="B74" s="6">
        <v>2.5</v>
      </c>
      <c r="C74" s="6">
        <v>3.9</v>
      </c>
      <c r="D74" s="6">
        <v>1.1000000000000001</v>
      </c>
      <c r="E74" s="6" t="s">
        <v>10</v>
      </c>
    </row>
    <row r="75" spans="1:5">
      <c r="A75" s="6">
        <v>5.9</v>
      </c>
      <c r="B75" s="6">
        <v>3.2</v>
      </c>
      <c r="C75" s="6">
        <v>4.8</v>
      </c>
      <c r="D75" s="6">
        <v>1.8</v>
      </c>
      <c r="E75" s="6" t="s">
        <v>10</v>
      </c>
    </row>
    <row r="76" spans="1:5">
      <c r="A76" s="6">
        <v>6.1</v>
      </c>
      <c r="B76" s="6">
        <v>2.8</v>
      </c>
      <c r="C76" s="6">
        <v>4</v>
      </c>
      <c r="D76" s="6">
        <v>1.3</v>
      </c>
      <c r="E76" s="6" t="s">
        <v>10</v>
      </c>
    </row>
    <row r="77" spans="1:5">
      <c r="A77" s="6">
        <v>6.3</v>
      </c>
      <c r="B77" s="6">
        <v>2.5</v>
      </c>
      <c r="C77" s="6">
        <v>4.9000000000000004</v>
      </c>
      <c r="D77" s="6">
        <v>1.5</v>
      </c>
      <c r="E77" s="6" t="s">
        <v>10</v>
      </c>
    </row>
    <row r="78" spans="1:5">
      <c r="A78" s="6">
        <v>6.1</v>
      </c>
      <c r="B78" s="6">
        <v>2.8</v>
      </c>
      <c r="C78" s="6">
        <v>4.7</v>
      </c>
      <c r="D78" s="6">
        <v>1.2</v>
      </c>
      <c r="E78" s="6" t="s">
        <v>10</v>
      </c>
    </row>
    <row r="79" spans="1:5">
      <c r="A79" s="6">
        <v>6.4</v>
      </c>
      <c r="B79" s="6">
        <v>2.9</v>
      </c>
      <c r="C79" s="6">
        <v>4.3</v>
      </c>
      <c r="D79" s="6">
        <v>1.3</v>
      </c>
      <c r="E79" s="6" t="s">
        <v>10</v>
      </c>
    </row>
    <row r="80" spans="1:5">
      <c r="A80" s="6">
        <v>6.6</v>
      </c>
      <c r="B80" s="6">
        <v>3</v>
      </c>
      <c r="C80" s="6">
        <v>4.4000000000000004</v>
      </c>
      <c r="D80" s="6">
        <v>1.4</v>
      </c>
      <c r="E80" s="6" t="s">
        <v>10</v>
      </c>
    </row>
    <row r="81" spans="1:5">
      <c r="A81" s="6">
        <v>6.8</v>
      </c>
      <c r="B81" s="6">
        <v>2.8</v>
      </c>
      <c r="C81" s="6">
        <v>4.8</v>
      </c>
      <c r="D81" s="6">
        <v>1.4</v>
      </c>
      <c r="E81" s="6" t="s">
        <v>10</v>
      </c>
    </row>
    <row r="82" spans="1:5">
      <c r="A82" s="6">
        <v>6.7</v>
      </c>
      <c r="B82" s="6">
        <v>3</v>
      </c>
      <c r="C82" s="6">
        <v>5</v>
      </c>
      <c r="D82" s="6">
        <v>1.7</v>
      </c>
      <c r="E82" s="6" t="s">
        <v>10</v>
      </c>
    </row>
    <row r="83" spans="1:5">
      <c r="A83" s="6">
        <v>6</v>
      </c>
      <c r="B83" s="6">
        <v>2.9</v>
      </c>
      <c r="C83" s="6">
        <v>4.5</v>
      </c>
      <c r="D83" s="6">
        <v>1.5</v>
      </c>
      <c r="E83" s="6" t="s">
        <v>10</v>
      </c>
    </row>
    <row r="84" spans="1:5">
      <c r="A84" s="6">
        <v>5.7</v>
      </c>
      <c r="B84" s="6">
        <v>2.6</v>
      </c>
      <c r="C84" s="6">
        <v>3.5</v>
      </c>
      <c r="D84" s="6">
        <v>1</v>
      </c>
      <c r="E84" s="6" t="s">
        <v>10</v>
      </c>
    </row>
    <row r="85" spans="1:5">
      <c r="A85" s="6">
        <v>5.5</v>
      </c>
      <c r="B85" s="6">
        <v>2.4</v>
      </c>
      <c r="C85" s="6">
        <v>3.8</v>
      </c>
      <c r="D85" s="6">
        <v>1.1000000000000001</v>
      </c>
      <c r="E85" s="6" t="s">
        <v>10</v>
      </c>
    </row>
    <row r="86" spans="1:5">
      <c r="A86" s="6">
        <v>5.5</v>
      </c>
      <c r="B86" s="6">
        <v>2.4</v>
      </c>
      <c r="C86" s="6">
        <v>3.7</v>
      </c>
      <c r="D86" s="6">
        <v>1</v>
      </c>
      <c r="E86" s="6" t="s">
        <v>10</v>
      </c>
    </row>
    <row r="87" spans="1:5">
      <c r="A87" s="6">
        <v>5.8</v>
      </c>
      <c r="B87" s="6">
        <v>2.7</v>
      </c>
      <c r="C87" s="6">
        <v>3.9</v>
      </c>
      <c r="D87" s="6">
        <v>1.2</v>
      </c>
      <c r="E87" s="6" t="s">
        <v>10</v>
      </c>
    </row>
    <row r="88" spans="1:5">
      <c r="A88" s="6">
        <v>6</v>
      </c>
      <c r="B88" s="6">
        <v>2.7</v>
      </c>
      <c r="C88" s="6">
        <v>5.0999999999999996</v>
      </c>
      <c r="D88" s="6">
        <v>1.6</v>
      </c>
      <c r="E88" s="6" t="s">
        <v>10</v>
      </c>
    </row>
    <row r="89" spans="1:5">
      <c r="A89" s="6">
        <v>5.4</v>
      </c>
      <c r="B89" s="6">
        <v>3</v>
      </c>
      <c r="C89" s="6">
        <v>4.5</v>
      </c>
      <c r="D89" s="6">
        <v>1.5</v>
      </c>
      <c r="E89" s="6" t="s">
        <v>10</v>
      </c>
    </row>
    <row r="90" spans="1:5">
      <c r="A90" s="6">
        <v>6</v>
      </c>
      <c r="B90" s="6">
        <v>3.4</v>
      </c>
      <c r="C90" s="6">
        <v>4.5</v>
      </c>
      <c r="D90" s="6">
        <v>1.6</v>
      </c>
      <c r="E90" s="6" t="s">
        <v>10</v>
      </c>
    </row>
    <row r="91" spans="1:5">
      <c r="A91" s="6">
        <v>6.7</v>
      </c>
      <c r="B91" s="6">
        <v>3.1</v>
      </c>
      <c r="C91" s="6">
        <v>4.7</v>
      </c>
      <c r="D91" s="6">
        <v>1.5</v>
      </c>
      <c r="E91" s="6" t="s">
        <v>10</v>
      </c>
    </row>
    <row r="92" spans="1:5">
      <c r="A92" s="6">
        <v>6.3</v>
      </c>
      <c r="B92" s="6">
        <v>2.2999999999999998</v>
      </c>
      <c r="C92" s="6">
        <v>4.4000000000000004</v>
      </c>
      <c r="D92" s="6">
        <v>1.3</v>
      </c>
      <c r="E92" s="6" t="s">
        <v>10</v>
      </c>
    </row>
    <row r="93" spans="1:5">
      <c r="A93" s="6">
        <v>5.6</v>
      </c>
      <c r="B93" s="6">
        <v>3</v>
      </c>
      <c r="C93" s="6">
        <v>4.0999999999999996</v>
      </c>
      <c r="D93" s="6">
        <v>1.3</v>
      </c>
      <c r="E93" s="6" t="s">
        <v>10</v>
      </c>
    </row>
    <row r="94" spans="1:5">
      <c r="A94" s="6">
        <v>5.5</v>
      </c>
      <c r="B94" s="6">
        <v>2.5</v>
      </c>
      <c r="C94" s="6">
        <v>4</v>
      </c>
      <c r="D94" s="6">
        <v>1.3</v>
      </c>
      <c r="E94" s="6" t="s">
        <v>10</v>
      </c>
    </row>
    <row r="95" spans="1:5">
      <c r="A95" s="6">
        <v>5.5</v>
      </c>
      <c r="B95" s="6">
        <v>2.6</v>
      </c>
      <c r="C95" s="6">
        <v>4.4000000000000004</v>
      </c>
      <c r="D95" s="6">
        <v>1.2</v>
      </c>
      <c r="E95" s="6" t="s">
        <v>10</v>
      </c>
    </row>
    <row r="96" spans="1:5">
      <c r="A96" s="6">
        <v>6.1</v>
      </c>
      <c r="B96" s="6">
        <v>3</v>
      </c>
      <c r="C96" s="6">
        <v>4.5999999999999996</v>
      </c>
      <c r="D96" s="6">
        <v>1.4</v>
      </c>
      <c r="E96" s="6" t="s">
        <v>10</v>
      </c>
    </row>
    <row r="97" spans="1:5">
      <c r="A97" s="6">
        <v>5.8</v>
      </c>
      <c r="B97" s="6">
        <v>2.6</v>
      </c>
      <c r="C97" s="6">
        <v>4</v>
      </c>
      <c r="D97" s="6">
        <v>1.2</v>
      </c>
      <c r="E97" s="6" t="s">
        <v>10</v>
      </c>
    </row>
    <row r="98" spans="1:5">
      <c r="A98" s="6">
        <v>5</v>
      </c>
      <c r="B98" s="6">
        <v>2.2999999999999998</v>
      </c>
      <c r="C98" s="6">
        <v>3.3</v>
      </c>
      <c r="D98" s="6">
        <v>1</v>
      </c>
      <c r="E98" s="6" t="s">
        <v>10</v>
      </c>
    </row>
    <row r="99" spans="1:5">
      <c r="A99" s="6">
        <v>5.6</v>
      </c>
      <c r="B99" s="6">
        <v>2.7</v>
      </c>
      <c r="C99" s="6">
        <v>4.2</v>
      </c>
      <c r="D99" s="6">
        <v>1.3</v>
      </c>
      <c r="E99" s="6" t="s">
        <v>10</v>
      </c>
    </row>
    <row r="100" spans="1:5">
      <c r="A100" s="6">
        <v>5.7</v>
      </c>
      <c r="B100" s="6">
        <v>3</v>
      </c>
      <c r="C100" s="6">
        <v>4.2</v>
      </c>
      <c r="D100" s="6">
        <v>1.2</v>
      </c>
      <c r="E100" s="6" t="s">
        <v>10</v>
      </c>
    </row>
    <row r="101" spans="1:5">
      <c r="A101" s="6">
        <v>5.7</v>
      </c>
      <c r="B101" s="6">
        <v>2.9</v>
      </c>
      <c r="C101" s="6">
        <v>4.2</v>
      </c>
      <c r="D101" s="6">
        <v>1.3</v>
      </c>
      <c r="E101" s="6" t="s">
        <v>10</v>
      </c>
    </row>
    <row r="102" spans="1:5">
      <c r="A102" s="6">
        <v>6.2</v>
      </c>
      <c r="B102" s="6">
        <v>2.9</v>
      </c>
      <c r="C102" s="6">
        <v>4.3</v>
      </c>
      <c r="D102" s="6">
        <v>1.3</v>
      </c>
      <c r="E102" s="6" t="s">
        <v>10</v>
      </c>
    </row>
    <row r="103" spans="1:5">
      <c r="A103" s="6">
        <v>5.0999999999999996</v>
      </c>
      <c r="B103" s="6">
        <v>2.5</v>
      </c>
      <c r="C103" s="6">
        <v>3</v>
      </c>
      <c r="D103" s="6">
        <v>1.1000000000000001</v>
      </c>
      <c r="E103" s="6" t="s">
        <v>10</v>
      </c>
    </row>
    <row r="104" spans="1:5">
      <c r="A104" s="6">
        <v>5.7</v>
      </c>
      <c r="B104" s="6">
        <v>2.8</v>
      </c>
      <c r="C104" s="6">
        <v>4.0999999999999996</v>
      </c>
      <c r="D104" s="6">
        <v>1.3</v>
      </c>
      <c r="E104" s="6" t="s">
        <v>10</v>
      </c>
    </row>
    <row r="105" spans="1:5">
      <c r="A105" s="6">
        <v>6.3</v>
      </c>
      <c r="B105" s="6">
        <v>3.3</v>
      </c>
      <c r="C105" s="6">
        <v>6</v>
      </c>
      <c r="D105" s="6">
        <v>2.5</v>
      </c>
      <c r="E105" s="6" t="s">
        <v>9</v>
      </c>
    </row>
    <row r="106" spans="1:5">
      <c r="A106" s="6">
        <v>5.8</v>
      </c>
      <c r="B106" s="6">
        <v>2.7</v>
      </c>
      <c r="C106" s="6">
        <v>5.0999999999999996</v>
      </c>
      <c r="D106" s="6">
        <v>1.9</v>
      </c>
      <c r="E106" s="6" t="s">
        <v>9</v>
      </c>
    </row>
    <row r="107" spans="1:5">
      <c r="A107" s="6">
        <v>7.1</v>
      </c>
      <c r="B107" s="6">
        <v>3</v>
      </c>
      <c r="C107" s="6">
        <v>5.9</v>
      </c>
      <c r="D107" s="6">
        <v>2.1</v>
      </c>
      <c r="E107" s="6" t="s">
        <v>9</v>
      </c>
    </row>
    <row r="108" spans="1:5">
      <c r="A108" s="6">
        <v>6.3</v>
      </c>
      <c r="B108" s="6">
        <v>2.9</v>
      </c>
      <c r="C108" s="6">
        <v>5.6</v>
      </c>
      <c r="D108" s="6">
        <v>1.8</v>
      </c>
      <c r="E108" s="6" t="s">
        <v>9</v>
      </c>
    </row>
    <row r="109" spans="1:5">
      <c r="A109" s="6">
        <v>6.5</v>
      </c>
      <c r="B109" s="6">
        <v>3</v>
      </c>
      <c r="C109" s="6">
        <v>5.8</v>
      </c>
      <c r="D109" s="6">
        <v>2.2000000000000002</v>
      </c>
      <c r="E109" s="6" t="s">
        <v>9</v>
      </c>
    </row>
    <row r="110" spans="1:5">
      <c r="A110" s="6">
        <v>7.6</v>
      </c>
      <c r="B110" s="6">
        <v>3</v>
      </c>
      <c r="C110" s="6">
        <v>6.6</v>
      </c>
      <c r="D110" s="6">
        <v>2.1</v>
      </c>
      <c r="E110" s="6" t="s">
        <v>9</v>
      </c>
    </row>
    <row r="111" spans="1:5">
      <c r="A111" s="6">
        <v>4.9000000000000004</v>
      </c>
      <c r="B111" s="6">
        <v>2.5</v>
      </c>
      <c r="C111" s="6">
        <v>4.5</v>
      </c>
      <c r="D111" s="6">
        <v>1.7</v>
      </c>
      <c r="E111" s="6" t="s">
        <v>9</v>
      </c>
    </row>
    <row r="112" spans="1:5">
      <c r="A112" s="6">
        <v>7.3</v>
      </c>
      <c r="B112" s="6">
        <v>2.9</v>
      </c>
      <c r="C112" s="6">
        <v>6.3</v>
      </c>
      <c r="D112" s="6">
        <v>1.8</v>
      </c>
      <c r="E112" s="6" t="s">
        <v>9</v>
      </c>
    </row>
    <row r="113" spans="1:5">
      <c r="A113" s="6">
        <v>6.7</v>
      </c>
      <c r="B113" s="6">
        <v>2.5</v>
      </c>
      <c r="C113" s="6">
        <v>5.8</v>
      </c>
      <c r="D113" s="6">
        <v>1.8</v>
      </c>
      <c r="E113" s="6" t="s">
        <v>9</v>
      </c>
    </row>
    <row r="114" spans="1:5">
      <c r="A114" s="6">
        <v>7.2</v>
      </c>
      <c r="B114" s="6">
        <v>3.6</v>
      </c>
      <c r="C114" s="6">
        <v>6.1</v>
      </c>
      <c r="D114" s="6">
        <v>2.5</v>
      </c>
      <c r="E114" s="6" t="s">
        <v>9</v>
      </c>
    </row>
    <row r="115" spans="1:5">
      <c r="A115" s="6">
        <v>6.5</v>
      </c>
      <c r="B115" s="6">
        <v>3.2</v>
      </c>
      <c r="C115" s="6">
        <v>5.0999999999999996</v>
      </c>
      <c r="D115" s="6">
        <v>2</v>
      </c>
      <c r="E115" s="6" t="s">
        <v>9</v>
      </c>
    </row>
    <row r="116" spans="1:5">
      <c r="A116" s="6">
        <v>6.4</v>
      </c>
      <c r="B116" s="6">
        <v>2.7</v>
      </c>
      <c r="C116" s="6">
        <v>5.3</v>
      </c>
      <c r="D116" s="6">
        <v>1.9</v>
      </c>
      <c r="E116" s="6" t="s">
        <v>9</v>
      </c>
    </row>
    <row r="117" spans="1:5">
      <c r="A117" s="6">
        <v>6.8</v>
      </c>
      <c r="B117" s="6">
        <v>3</v>
      </c>
      <c r="C117" s="6">
        <v>5.5</v>
      </c>
      <c r="D117" s="6">
        <v>2.1</v>
      </c>
      <c r="E117" s="6" t="s">
        <v>9</v>
      </c>
    </row>
    <row r="118" spans="1:5">
      <c r="A118" s="6">
        <v>5.7</v>
      </c>
      <c r="B118" s="6">
        <v>2.5</v>
      </c>
      <c r="C118" s="6">
        <v>5</v>
      </c>
      <c r="D118" s="6">
        <v>2</v>
      </c>
      <c r="E118" s="6" t="s">
        <v>9</v>
      </c>
    </row>
    <row r="119" spans="1:5">
      <c r="A119" s="6">
        <v>5.8</v>
      </c>
      <c r="B119" s="6">
        <v>2.8</v>
      </c>
      <c r="C119" s="6">
        <v>5.0999999999999996</v>
      </c>
      <c r="D119" s="6">
        <v>2.4</v>
      </c>
      <c r="E119" s="6" t="s">
        <v>9</v>
      </c>
    </row>
    <row r="120" spans="1:5">
      <c r="A120" s="6">
        <v>6.4</v>
      </c>
      <c r="B120" s="6">
        <v>3.2</v>
      </c>
      <c r="C120" s="6">
        <v>5.3</v>
      </c>
      <c r="D120" s="6">
        <v>2.2999999999999998</v>
      </c>
      <c r="E120" s="6" t="s">
        <v>9</v>
      </c>
    </row>
    <row r="121" spans="1:5">
      <c r="A121" s="6">
        <v>6.5</v>
      </c>
      <c r="B121" s="6">
        <v>3</v>
      </c>
      <c r="C121" s="6">
        <v>5.5</v>
      </c>
      <c r="D121" s="6">
        <v>1.8</v>
      </c>
      <c r="E121" s="6" t="s">
        <v>9</v>
      </c>
    </row>
    <row r="122" spans="1:5">
      <c r="A122" s="6">
        <v>7.7</v>
      </c>
      <c r="B122" s="6">
        <v>3.8</v>
      </c>
      <c r="C122" s="6">
        <v>6.7</v>
      </c>
      <c r="D122" s="6">
        <v>2.2000000000000002</v>
      </c>
      <c r="E122" s="6" t="s">
        <v>9</v>
      </c>
    </row>
    <row r="123" spans="1:5">
      <c r="A123" s="6">
        <v>7.7</v>
      </c>
      <c r="B123" s="6">
        <v>2.6</v>
      </c>
      <c r="C123" s="6">
        <v>6.9</v>
      </c>
      <c r="D123" s="6">
        <v>2.2999999999999998</v>
      </c>
      <c r="E123" s="6" t="s">
        <v>9</v>
      </c>
    </row>
    <row r="124" spans="1:5">
      <c r="A124" s="6">
        <v>6</v>
      </c>
      <c r="B124" s="6">
        <v>2.2000000000000002</v>
      </c>
      <c r="C124" s="6">
        <v>5</v>
      </c>
      <c r="D124" s="6">
        <v>1.5</v>
      </c>
      <c r="E124" s="6" t="s">
        <v>9</v>
      </c>
    </row>
    <row r="125" spans="1:5">
      <c r="A125" s="6">
        <v>6.9</v>
      </c>
      <c r="B125" s="6">
        <v>3.2</v>
      </c>
      <c r="C125" s="6">
        <v>5.7</v>
      </c>
      <c r="D125" s="6">
        <v>2.2999999999999998</v>
      </c>
      <c r="E125" s="6" t="s">
        <v>9</v>
      </c>
    </row>
    <row r="126" spans="1:5">
      <c r="A126" s="6">
        <v>5.6</v>
      </c>
      <c r="B126" s="6">
        <v>2.8</v>
      </c>
      <c r="C126" s="6">
        <v>4.9000000000000004</v>
      </c>
      <c r="D126" s="6">
        <v>2</v>
      </c>
      <c r="E126" s="6" t="s">
        <v>9</v>
      </c>
    </row>
    <row r="127" spans="1:5">
      <c r="A127" s="6">
        <v>7.7</v>
      </c>
      <c r="B127" s="6">
        <v>2.8</v>
      </c>
      <c r="C127" s="6">
        <v>6.7</v>
      </c>
      <c r="D127" s="6">
        <v>2</v>
      </c>
      <c r="E127" s="6" t="s">
        <v>9</v>
      </c>
    </row>
    <row r="128" spans="1:5">
      <c r="A128" s="6">
        <v>6.3</v>
      </c>
      <c r="B128" s="6">
        <v>2.7</v>
      </c>
      <c r="C128" s="6">
        <v>4.9000000000000004</v>
      </c>
      <c r="D128" s="6">
        <v>1.8</v>
      </c>
      <c r="E128" s="6" t="s">
        <v>9</v>
      </c>
    </row>
    <row r="129" spans="1:5">
      <c r="A129" s="6">
        <v>6.7</v>
      </c>
      <c r="B129" s="6">
        <v>3.3</v>
      </c>
      <c r="C129" s="6">
        <v>5.7</v>
      </c>
      <c r="D129" s="6">
        <v>2.1</v>
      </c>
      <c r="E129" s="6" t="s">
        <v>9</v>
      </c>
    </row>
    <row r="130" spans="1:5">
      <c r="A130" s="6">
        <v>7.2</v>
      </c>
      <c r="B130" s="6">
        <v>3.2</v>
      </c>
      <c r="C130" s="6">
        <v>6</v>
      </c>
      <c r="D130" s="6">
        <v>1.8</v>
      </c>
      <c r="E130" s="6" t="s">
        <v>9</v>
      </c>
    </row>
    <row r="131" spans="1:5">
      <c r="A131" s="6">
        <v>6.2</v>
      </c>
      <c r="B131" s="6">
        <v>2.8</v>
      </c>
      <c r="C131" s="6">
        <v>4.8</v>
      </c>
      <c r="D131" s="6">
        <v>1.8</v>
      </c>
      <c r="E131" s="6" t="s">
        <v>9</v>
      </c>
    </row>
    <row r="132" spans="1:5">
      <c r="A132" s="6">
        <v>6.1</v>
      </c>
      <c r="B132" s="6">
        <v>3</v>
      </c>
      <c r="C132" s="6">
        <v>4.9000000000000004</v>
      </c>
      <c r="D132" s="6">
        <v>1.8</v>
      </c>
      <c r="E132" s="6" t="s">
        <v>9</v>
      </c>
    </row>
    <row r="133" spans="1:5">
      <c r="A133" s="6">
        <v>6.4</v>
      </c>
      <c r="B133" s="6">
        <v>2.8</v>
      </c>
      <c r="C133" s="6">
        <v>5.6</v>
      </c>
      <c r="D133" s="6">
        <v>2.1</v>
      </c>
      <c r="E133" s="6" t="s">
        <v>9</v>
      </c>
    </row>
    <row r="134" spans="1:5">
      <c r="A134" s="6">
        <v>7.2</v>
      </c>
      <c r="B134" s="6">
        <v>3</v>
      </c>
      <c r="C134" s="6">
        <v>5.8</v>
      </c>
      <c r="D134" s="6">
        <v>1.6</v>
      </c>
      <c r="E134" s="6" t="s">
        <v>9</v>
      </c>
    </row>
    <row r="135" spans="1:5">
      <c r="A135" s="6">
        <v>7.4</v>
      </c>
      <c r="B135" s="6">
        <v>2.8</v>
      </c>
      <c r="C135" s="6">
        <v>6.1</v>
      </c>
      <c r="D135" s="6">
        <v>1.9</v>
      </c>
      <c r="E135" s="6" t="s">
        <v>9</v>
      </c>
    </row>
    <row r="136" spans="1:5">
      <c r="A136" s="6">
        <v>7.9</v>
      </c>
      <c r="B136" s="6">
        <v>3.8</v>
      </c>
      <c r="C136" s="6">
        <v>6.4</v>
      </c>
      <c r="D136" s="6">
        <v>2</v>
      </c>
      <c r="E136" s="6" t="s">
        <v>9</v>
      </c>
    </row>
    <row r="137" spans="1:5">
      <c r="A137" s="6">
        <v>6.4</v>
      </c>
      <c r="B137" s="6">
        <v>2.8</v>
      </c>
      <c r="C137" s="6">
        <v>5.6</v>
      </c>
      <c r="D137" s="6">
        <v>2.2000000000000002</v>
      </c>
      <c r="E137" s="6" t="s">
        <v>9</v>
      </c>
    </row>
    <row r="138" spans="1:5">
      <c r="A138" s="6">
        <v>6.3</v>
      </c>
      <c r="B138" s="6">
        <v>2.8</v>
      </c>
      <c r="C138" s="6">
        <v>5.0999999999999996</v>
      </c>
      <c r="D138" s="6">
        <v>1.5</v>
      </c>
      <c r="E138" s="6" t="s">
        <v>9</v>
      </c>
    </row>
    <row r="139" spans="1:5">
      <c r="A139" s="6">
        <v>6.1</v>
      </c>
      <c r="B139" s="6">
        <v>2.6</v>
      </c>
      <c r="C139" s="6">
        <v>5.6</v>
      </c>
      <c r="D139" s="6">
        <v>1.4</v>
      </c>
      <c r="E139" s="6" t="s">
        <v>9</v>
      </c>
    </row>
    <row r="140" spans="1:5">
      <c r="A140" s="6">
        <v>7.7</v>
      </c>
      <c r="B140" s="6">
        <v>3</v>
      </c>
      <c r="C140" s="6">
        <v>6.1</v>
      </c>
      <c r="D140" s="6">
        <v>2.2999999999999998</v>
      </c>
      <c r="E140" s="6" t="s">
        <v>9</v>
      </c>
    </row>
    <row r="141" spans="1:5">
      <c r="A141" s="6">
        <v>6.3</v>
      </c>
      <c r="B141" s="6">
        <v>3.4</v>
      </c>
      <c r="C141" s="6">
        <v>5.6</v>
      </c>
      <c r="D141" s="6">
        <v>2.4</v>
      </c>
      <c r="E141" s="6" t="s">
        <v>9</v>
      </c>
    </row>
    <row r="142" spans="1:5">
      <c r="A142" s="6">
        <v>6.4</v>
      </c>
      <c r="B142" s="6">
        <v>3.1</v>
      </c>
      <c r="C142" s="6">
        <v>5.5</v>
      </c>
      <c r="D142" s="6">
        <v>1.8</v>
      </c>
      <c r="E142" s="6" t="s">
        <v>9</v>
      </c>
    </row>
    <row r="143" spans="1:5">
      <c r="A143" s="6">
        <v>6</v>
      </c>
      <c r="B143" s="6">
        <v>3</v>
      </c>
      <c r="C143" s="6">
        <v>4.8</v>
      </c>
      <c r="D143" s="6">
        <v>1.8</v>
      </c>
      <c r="E143" s="6" t="s">
        <v>9</v>
      </c>
    </row>
    <row r="144" spans="1:5">
      <c r="A144" s="6">
        <v>6.9</v>
      </c>
      <c r="B144" s="6">
        <v>3.1</v>
      </c>
      <c r="C144" s="6">
        <v>5.4</v>
      </c>
      <c r="D144" s="6">
        <v>2.1</v>
      </c>
      <c r="E144" s="6" t="s">
        <v>9</v>
      </c>
    </row>
    <row r="145" spans="1:5">
      <c r="A145" s="6">
        <v>6.7</v>
      </c>
      <c r="B145" s="6">
        <v>3.1</v>
      </c>
      <c r="C145" s="6">
        <v>5.6</v>
      </c>
      <c r="D145" s="6">
        <v>2.4</v>
      </c>
      <c r="E145" s="6" t="s">
        <v>9</v>
      </c>
    </row>
    <row r="146" spans="1:5">
      <c r="A146" s="6">
        <v>6.9</v>
      </c>
      <c r="B146" s="6">
        <v>3.1</v>
      </c>
      <c r="C146" s="6">
        <v>5.0999999999999996</v>
      </c>
      <c r="D146" s="6">
        <v>2.2999999999999998</v>
      </c>
      <c r="E146" s="6" t="s">
        <v>9</v>
      </c>
    </row>
    <row r="147" spans="1:5">
      <c r="A147" s="6">
        <v>5.8</v>
      </c>
      <c r="B147" s="6">
        <v>2.7</v>
      </c>
      <c r="C147" s="6">
        <v>5.0999999999999996</v>
      </c>
      <c r="D147" s="6">
        <v>1.9</v>
      </c>
      <c r="E147" s="6" t="s">
        <v>9</v>
      </c>
    </row>
    <row r="148" spans="1:5">
      <c r="A148" s="6">
        <v>6.8</v>
      </c>
      <c r="B148" s="6">
        <v>3.2</v>
      </c>
      <c r="C148" s="6">
        <v>5.9</v>
      </c>
      <c r="D148" s="6">
        <v>2.2999999999999998</v>
      </c>
      <c r="E148" s="6" t="s">
        <v>9</v>
      </c>
    </row>
    <row r="149" spans="1:5">
      <c r="A149" s="6">
        <v>6.7</v>
      </c>
      <c r="B149" s="6">
        <v>3.3</v>
      </c>
      <c r="C149" s="6">
        <v>5.7</v>
      </c>
      <c r="D149" s="6">
        <v>2.5</v>
      </c>
      <c r="E149" s="6" t="s">
        <v>9</v>
      </c>
    </row>
    <row r="150" spans="1:5">
      <c r="A150" s="6">
        <v>6.7</v>
      </c>
      <c r="B150" s="6">
        <v>3</v>
      </c>
      <c r="C150" s="6">
        <v>5.2</v>
      </c>
      <c r="D150" s="6">
        <v>2.2999999999999998</v>
      </c>
      <c r="E150" s="6" t="s">
        <v>9</v>
      </c>
    </row>
    <row r="151" spans="1:5">
      <c r="A151" s="6">
        <v>6.3</v>
      </c>
      <c r="B151" s="6">
        <v>2.5</v>
      </c>
      <c r="C151" s="6">
        <v>5</v>
      </c>
      <c r="D151" s="6">
        <v>1.9</v>
      </c>
      <c r="E151" s="6" t="s">
        <v>9</v>
      </c>
    </row>
    <row r="152" spans="1:5">
      <c r="A152" s="6">
        <v>6.5</v>
      </c>
      <c r="B152" s="6">
        <v>3</v>
      </c>
      <c r="C152" s="6">
        <v>5.2</v>
      </c>
      <c r="D152" s="6">
        <v>2</v>
      </c>
      <c r="E152" s="6" t="s">
        <v>9</v>
      </c>
    </row>
    <row r="153" spans="1:5">
      <c r="A153" s="6">
        <v>6.2</v>
      </c>
      <c r="B153" s="6">
        <v>3.4</v>
      </c>
      <c r="C153" s="6">
        <v>5.4</v>
      </c>
      <c r="D153" s="6">
        <v>2.2999999999999998</v>
      </c>
      <c r="E153" s="6" t="s">
        <v>9</v>
      </c>
    </row>
    <row r="154" spans="1:5">
      <c r="A154" s="6">
        <v>5.9</v>
      </c>
      <c r="B154" s="6">
        <v>3</v>
      </c>
      <c r="C154" s="6">
        <v>5.0999999999999996</v>
      </c>
      <c r="D154" s="6">
        <v>1.8</v>
      </c>
      <c r="E154" s="6" t="s">
        <v>9</v>
      </c>
    </row>
    <row r="155" spans="1:5">
      <c r="A155" s="26" t="s">
        <v>8</v>
      </c>
      <c r="B155" s="26"/>
      <c r="C155" s="26"/>
      <c r="D155" s="26"/>
      <c r="E155" s="26"/>
    </row>
  </sheetData>
  <mergeCells count="23">
    <mergeCell ref="A155:E155"/>
    <mergeCell ref="G5:G8"/>
    <mergeCell ref="H5:H8"/>
    <mergeCell ref="I5:I8"/>
    <mergeCell ref="G13:G17"/>
    <mergeCell ref="G27:G40"/>
    <mergeCell ref="H27:H40"/>
    <mergeCell ref="I27:I40"/>
    <mergeCell ref="G9:G12"/>
    <mergeCell ref="G18:G26"/>
    <mergeCell ref="H18:H26"/>
    <mergeCell ref="I18:I26"/>
    <mergeCell ref="J18:J26"/>
    <mergeCell ref="A1:G1"/>
    <mergeCell ref="G3:H3"/>
    <mergeCell ref="J5:J8"/>
    <mergeCell ref="H9:H12"/>
    <mergeCell ref="I9:I12"/>
    <mergeCell ref="J9:J12"/>
    <mergeCell ref="J27:J40"/>
    <mergeCell ref="H13:H17"/>
    <mergeCell ref="I13:I17"/>
    <mergeCell ref="J13:J1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topLeftCell="E1" zoomScale="85" zoomScaleNormal="85" workbookViewId="0">
      <selection activeCell="F3" sqref="F3:F125"/>
    </sheetView>
  </sheetViews>
  <sheetFormatPr defaultRowHeight="12.75"/>
  <cols>
    <col min="1" max="1" width="5.7109375"/>
    <col min="2" max="2" width="19.7109375"/>
    <col min="3" max="3" width="24.5703125"/>
    <col min="4" max="4" width="31.28515625"/>
    <col min="5" max="6" width="62" customWidth="1"/>
  </cols>
  <sheetData>
    <row r="1" spans="1:9" ht="45.75" thickBot="1">
      <c r="A1" s="1" t="s">
        <v>0</v>
      </c>
      <c r="B1" s="2" t="s">
        <v>5</v>
      </c>
      <c r="C1" s="1" t="s">
        <v>6</v>
      </c>
      <c r="D1" s="3" t="s">
        <v>7</v>
      </c>
    </row>
    <row r="2" spans="1:9" ht="13.5" thickBot="1">
      <c r="A2" s="4" t="s">
        <v>1</v>
      </c>
      <c r="B2" s="5" t="s">
        <v>2</v>
      </c>
      <c r="C2" s="5" t="s">
        <v>3</v>
      </c>
      <c r="D2" s="5" t="s">
        <v>4</v>
      </c>
      <c r="E2" s="15" t="s">
        <v>37</v>
      </c>
      <c r="F2" s="13"/>
      <c r="G2" s="13" t="s">
        <v>34</v>
      </c>
      <c r="H2" s="13" t="s">
        <v>35</v>
      </c>
      <c r="I2" s="13" t="s">
        <v>36</v>
      </c>
    </row>
    <row r="3" spans="1:9" ht="38.25">
      <c r="A3" s="28">
        <v>1</v>
      </c>
      <c r="B3" s="28" t="s">
        <v>38</v>
      </c>
      <c r="C3" s="28" t="s">
        <v>39</v>
      </c>
      <c r="D3" s="28" t="s">
        <v>40</v>
      </c>
      <c r="E3" t="e" cm="1">
        <f t="array" aca="1" ref="E3" ca="1">_xlfn._xlws.PY(5,1,D3)</f>
        <v>#NAME?</v>
      </c>
      <c r="F3" t="s">
        <v>162</v>
      </c>
      <c r="G3" t="s">
        <v>197</v>
      </c>
      <c r="H3" s="14" t="s">
        <v>161</v>
      </c>
      <c r="I3" t="str">
        <f>CONCATENATE("insert into rosnedra.blocks_hcs_forecast(year, datestamp, region, block_name, source, url, resources_raw, resources_parsed) values(2026, '2026-01-02', '", B3, "', e'", C3, "', '", G3, "', e'", H3, "', e'", D3, "', '", F3, "'),")</f>
        <v>insert into rosnedra.blocks_hcs_forecast(year, datestamp, region, block_name, source, url, resources_raw, resources_parsed) values(2026, '2026-01-02', 'Волгоградская область', e'Малодельский',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C1 - 0,176 млрд м3,
C2 - 0,071 млрд м3', '{"gas": {"C1": [0.176, "млрд м3"], "C2": [0.071, "млрд м3"]}}'),</v>
      </c>
    </row>
    <row r="4" spans="1:9" ht="51">
      <c r="A4" s="28">
        <v>2</v>
      </c>
      <c r="B4" s="28" t="s">
        <v>38</v>
      </c>
      <c r="C4" s="28" t="s">
        <v>41</v>
      </c>
      <c r="D4" s="28" t="s">
        <v>42</v>
      </c>
      <c r="E4" t="e" cm="1">
        <f t="array" aca="1" ref="E4" ca="1">_xlfn._xlws.PY(5,1,D4)</f>
        <v>#NAME?</v>
      </c>
      <c r="F4" t="s">
        <v>163</v>
      </c>
      <c r="G4" t="s">
        <v>197</v>
      </c>
      <c r="H4" s="14" t="s">
        <v>161</v>
      </c>
      <c r="I4" t="str">
        <f>CONCATENATE("(2026, '2026-01-02', '", B4, "', e'", C4, "', '", G4, "', e'", H4, "', e'", D4, "', '", F4, "'),")</f>
        <v>(2026, '2026-01-02', 'Волгоградская область', e'Антиповско-Лебяжинский',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C1 - 0,018 млн т
газ (извл.):
C1 - 0,196 млрд м3', '{"oil": {"C1": [0.018, "млн т"]}, "gas": {"C1": [0.196, "млрд м3"]}}'),</v>
      </c>
    </row>
    <row r="5" spans="1:9" ht="114.75">
      <c r="A5" s="28">
        <v>3</v>
      </c>
      <c r="B5" s="28" t="s">
        <v>43</v>
      </c>
      <c r="C5" s="28" t="s">
        <v>44</v>
      </c>
      <c r="D5" s="28" t="s">
        <v>45</v>
      </c>
      <c r="E5" t="e" cm="1">
        <f t="array" aca="1" ref="E5" ca="1">_xlfn._xlws.PY(5,1,D5)</f>
        <v>#NAME?</v>
      </c>
      <c r="F5" t="s">
        <v>164</v>
      </c>
      <c r="G5" t="s">
        <v>197</v>
      </c>
      <c r="H5" s="14" t="s">
        <v>161</v>
      </c>
      <c r="I5" t="str">
        <f t="shared" ref="I5:I68" si="0">CONCATENATE("(2026, '2026-01-02', '", B5, "', e'", C5, "', '", G5, "', e'", H5, "', e'", D5, "', '", F5, "'),")</f>
        <v>(2026, '2026-01-02', 'Иркутская область', e'Восточно-Ордынский',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D1 - 0,2 млн т,
D2 - 1,2 млн т
газ (извл.):
D1 - 42,2 млрд м3,
D2 - 11,6 млрд м3
конденсат (извл.):
D1 - 2,5 млн т,
D2 - 0,7 млн т', '{"oil": {"D1": [0.2, "млн т"], "D2": [1.2, "млн т"]}, "gas": {"D1": [42.2, "млрд м3"], "D2": [11.6, "млрд м3"]}, "cond": {"D1": [2.5, "млн т"], "D2": [0.7, "млн т"]}}'),</v>
      </c>
    </row>
    <row r="6" spans="1:9" ht="89.25">
      <c r="A6" s="28">
        <v>4</v>
      </c>
      <c r="B6" s="28" t="s">
        <v>46</v>
      </c>
      <c r="C6" s="28" t="s">
        <v>47</v>
      </c>
      <c r="D6" s="28" t="s">
        <v>48</v>
      </c>
      <c r="E6" t="e" cm="1">
        <f t="array" aca="1" ref="E6" ca="1">_xlfn._xlws.PY(5,1,D6)</f>
        <v>#NAME?</v>
      </c>
      <c r="F6" t="s">
        <v>168</v>
      </c>
      <c r="G6" t="s">
        <v>197</v>
      </c>
      <c r="H6" s="14" t="s">
        <v>161</v>
      </c>
      <c r="I6" t="str">
        <f t="shared" si="0"/>
        <v>(2026, '2026-01-02', 'Краснодарский край', e'Кеслеровское',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A - 7,00 млн т,
D1 - 0,066/0,03 млн т
газ (извл.):
D1 - 0,00475 млрд м3
конденсат (геол./извл.):
D1 - 0,00022/0,00013 млн т', '{"oil": {"A": [7.0, "млн т"], "D1": [0.066, "млн т"]}, "gas": {"D1": [0.00475, "млрд м3"]}, "cond": {"D1": [0.00022, "млн т"]}}'),</v>
      </c>
    </row>
    <row r="7" spans="1:9" ht="25.5">
      <c r="A7" s="28">
        <v>5</v>
      </c>
      <c r="B7" s="28" t="s">
        <v>49</v>
      </c>
      <c r="C7" s="28" t="s">
        <v>50</v>
      </c>
      <c r="D7" s="28" t="s">
        <v>51</v>
      </c>
      <c r="E7" t="e" cm="1">
        <f t="array" aca="1" ref="E7" ca="1">_xlfn._xlws.PY(5,1,D7)</f>
        <v>#NAME?</v>
      </c>
      <c r="F7" t="s">
        <v>165</v>
      </c>
      <c r="G7" t="s">
        <v>197</v>
      </c>
      <c r="H7" s="14" t="s">
        <v>161</v>
      </c>
      <c r="I7" t="str">
        <f t="shared" si="0"/>
        <v>(2026, '2026-01-02', 'Красноярский край', e'Быстрянская площадь',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D2 - 0,330 млрд м3', '{"gas": {"D2": [0.33, "млрд м3"]}}'),</v>
      </c>
    </row>
    <row r="8" spans="1:9" ht="38.25">
      <c r="A8" s="28">
        <v>6</v>
      </c>
      <c r="B8" s="28" t="s">
        <v>52</v>
      </c>
      <c r="C8" s="28" t="s">
        <v>53</v>
      </c>
      <c r="D8" s="28" t="s">
        <v>167</v>
      </c>
      <c r="E8" t="e" cm="1">
        <f t="array" aca="1" ref="E8" ca="1">_xlfn._xlws.PY(5,1,D8)</f>
        <v>#NAME?</v>
      </c>
      <c r="F8" t="s">
        <v>336</v>
      </c>
      <c r="G8" t="s">
        <v>197</v>
      </c>
      <c r="H8" s="14" t="s">
        <v>161</v>
      </c>
      <c r="I8" t="str">
        <f t="shared" si="0"/>
        <v>(2026, '2026-01-02', 'Оренбургская область', e'Соболевский',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C1 - 3,682/0,296 млн т,
D1(D3dm) - 51,27/1,54 млн т', '{"oil": {"C1": [3.682, "млн т"]}}'),</v>
      </c>
    </row>
    <row r="9" spans="1:9" ht="102">
      <c r="A9" s="28">
        <v>7</v>
      </c>
      <c r="B9" s="28" t="s">
        <v>52</v>
      </c>
      <c r="C9" s="28" t="s">
        <v>54</v>
      </c>
      <c r="D9" s="28" t="s">
        <v>55</v>
      </c>
      <c r="E9" t="e" cm="1">
        <f t="array" aca="1" ref="E9" ca="1">_xlfn._xlws.PY(5,1,D9)</f>
        <v>#NAME?</v>
      </c>
      <c r="F9" t="s">
        <v>337</v>
      </c>
      <c r="G9" t="s">
        <v>197</v>
      </c>
      <c r="H9" s="14" t="s">
        <v>161</v>
      </c>
      <c r="I9" t="str">
        <f t="shared" si="0"/>
        <v>(2026, '2026-01-02', 'Оренбургская область', e'Мраковский',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D1 - 157,546/45,135 млн т,
D1(D3dm) - 2550,421/76,512 млн т,
D2 - 1,35/0,616 млн т
газ (извл./геол.):
D1 - 6,021/6,021 млрд м3
конденсат (извл./геол.):
D1 - 0,68/0,423 млн т', '{"oil": {"D1": [157.546, "млн т"], "D2": [1.35, "млн т"]}, "gas": {"D1": [6.021, "млрд м3"]}, "cond": {"D1": [0.68, "млн т"]}}'),</v>
      </c>
    </row>
    <row r="10" spans="1:9" ht="89.25">
      <c r="A10" s="28">
        <v>8</v>
      </c>
      <c r="B10" s="28" t="s">
        <v>52</v>
      </c>
      <c r="C10" s="28" t="s">
        <v>56</v>
      </c>
      <c r="D10" s="28" t="s">
        <v>57</v>
      </c>
      <c r="E10" t="e" cm="1">
        <f t="array" aca="1" ref="E10" ca="1">_xlfn._xlws.PY(5,1,D10)</f>
        <v>#NAME?</v>
      </c>
      <c r="F10" t="s">
        <v>338</v>
      </c>
      <c r="G10" t="s">
        <v>197</v>
      </c>
      <c r="H10" s="14" t="s">
        <v>161</v>
      </c>
      <c r="I10" t="str">
        <f t="shared" si="0"/>
        <v>(2026, '2026-01-02', 'Оренбургская область', e'Западно-Мраковский',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D1 - 7,372 млн т,
D1(D3dm) - 28,9 млн т
газ (извл.):
D1 - 1,304 млрд м3
конденсат (извл.):
D1 - 0,028 млн т', '{"oil": {"D1": [7.372, "млн т"]}, "gas": {"D1": [1.304, "млрд м3"]}, "cond": {"D1": [0.028, "млн т"]}}'),</v>
      </c>
    </row>
    <row r="11" spans="1:9" ht="114.75">
      <c r="A11" s="28">
        <v>9</v>
      </c>
      <c r="B11" s="28" t="s">
        <v>52</v>
      </c>
      <c r="C11" s="28" t="s">
        <v>58</v>
      </c>
      <c r="D11" s="28" t="s">
        <v>59</v>
      </c>
      <c r="E11" t="e" cm="1">
        <f t="array" aca="1" ref="E11" ca="1">_xlfn._xlws.PY(5,1,D11)</f>
        <v>#NAME?</v>
      </c>
      <c r="F11" t="s">
        <v>166</v>
      </c>
      <c r="G11" t="s">
        <v>197</v>
      </c>
      <c r="H11" s="14" t="s">
        <v>161</v>
      </c>
      <c r="I11" t="str">
        <f t="shared" si="0"/>
        <v>(2026, '2026-01-02', 'Оренбургская область', e'Дружный',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D0 - 2,008 млн т,
D1 - 16,675 млн т,
D1 - 5,969 млн т
газ:
D1 - 1,845 млрд м3,
D1 - 1,704 млрд м3
конденсат:
D1 - 0,336 млн т', '{"oil": {"D0": [2.008, "млн т"], "D1": [5.969, "млн т"]}, "gas": {"D1": [1.704, "млрд м3"]}, "cond": {"D1": [0.336, "млн т"]}}'),</v>
      </c>
    </row>
    <row r="12" spans="1:9" ht="140.25">
      <c r="A12" s="28">
        <v>10</v>
      </c>
      <c r="B12" s="28" t="s">
        <v>52</v>
      </c>
      <c r="C12" s="28" t="s">
        <v>60</v>
      </c>
      <c r="D12" s="28" t="s">
        <v>61</v>
      </c>
      <c r="E12" t="e" cm="1">
        <f t="array" aca="1" ref="E12" ca="1">_xlfn._xlws.PY(5,1,D12)</f>
        <v>#NAME?</v>
      </c>
      <c r="F12" t="s">
        <v>339</v>
      </c>
      <c r="G12" t="s">
        <v>197</v>
      </c>
      <c r="H12" s="14" t="s">
        <v>161</v>
      </c>
      <c r="I12" t="str">
        <f t="shared" si="0"/>
        <v>(2026, '2026-01-02', 'Оренбургская область', e'Владимировский',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т', '{"oil": {"D1": [2.029, "млн т"], "D2": [0.557, "млн т"]}, "gas": {"D1": [1.554, "млрд м3"], "D2": [0.173, "млрд м3"]}, "cond": {"D1": [1.075, "млн т"]}}'),</v>
      </c>
    </row>
    <row r="13" spans="1:9" ht="89.25">
      <c r="A13" s="28">
        <v>11</v>
      </c>
      <c r="B13" s="28" t="s">
        <v>62</v>
      </c>
      <c r="C13" s="28" t="s">
        <v>63</v>
      </c>
      <c r="D13" s="28" t="s">
        <v>64</v>
      </c>
      <c r="E13" t="e" cm="1">
        <f t="array" aca="1" ref="E13" ca="1">_xlfn._xlws.PY(5,1,D13)</f>
        <v>#NAME?</v>
      </c>
      <c r="F13" t="s">
        <v>340</v>
      </c>
      <c r="G13" t="s">
        <v>197</v>
      </c>
      <c r="H13" s="14" t="s">
        <v>161</v>
      </c>
      <c r="I13" t="str">
        <f t="shared" si="0"/>
        <v>(2026, '2026-01-02', 'Пермский край', e'Половодовский',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D1 - 0,978/0,315 млн т
D1(D3dm) - 83,259/2,498 млн т
газ (геол./извл.):
D1 - 0,039/0,039 млрд м3
конденсат (геол./извл.):
D1 - 0,003/0,001 млн т', '{"oil": {"D1": [0.978, "млн т"]}, "gas": {"D1": [0.039, "млрд м3"]}, "cond": {"D1": [0.003, "млн т"]}}'),</v>
      </c>
    </row>
    <row r="14" spans="1:9" ht="89.25">
      <c r="A14" s="28">
        <v>12</v>
      </c>
      <c r="B14" s="28" t="s">
        <v>62</v>
      </c>
      <c r="C14" s="28" t="s">
        <v>65</v>
      </c>
      <c r="D14" s="28" t="s">
        <v>66</v>
      </c>
      <c r="E14" t="e" cm="1">
        <f t="array" aca="1" ref="E14" ca="1">_xlfn._xlws.PY(5,1,D14)</f>
        <v>#NAME?</v>
      </c>
      <c r="F14" t="s">
        <v>341</v>
      </c>
      <c r="G14" t="s">
        <v>197</v>
      </c>
      <c r="H14" s="14" t="s">
        <v>161</v>
      </c>
      <c r="I14" t="str">
        <f t="shared" si="0"/>
        <v>(2026, '2026-01-02', 'Пермский край', e'Вильвенский',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D1 - 1,778/0,572 млн т
D1(D3dm) - 153,379/4,601 млн т
газ (геол./извл.):
D1 - 0,073/0,073 млрд м3
конденсат (геол./извл.):
D1 - 0,005/0,002 млн т', '{"oil": {"D1": [1.778, "млн т"]}, "gas": {"D1": [0.073, "млрд м3"]}, "cond": {"D1": [0.005, "млн т"]}}'),</v>
      </c>
    </row>
    <row r="15" spans="1:9" ht="102">
      <c r="A15" s="28">
        <v>13</v>
      </c>
      <c r="B15" s="28" t="s">
        <v>62</v>
      </c>
      <c r="C15" s="28" t="s">
        <v>67</v>
      </c>
      <c r="D15" s="28" t="s">
        <v>198</v>
      </c>
      <c r="E15" t="e" cm="1">
        <f t="array" aca="1" ref="E15" ca="1">_xlfn._xlws.PY(5,1,D15)</f>
        <v>#NAME?</v>
      </c>
      <c r="F15" t="s">
        <v>342</v>
      </c>
      <c r="G15" t="s">
        <v>197</v>
      </c>
      <c r="H15" s="14" t="s">
        <v>161</v>
      </c>
      <c r="I15" t="str">
        <f t="shared" si="0"/>
        <v>(2026, '2026-01-02', 'Пермский край', e'Черноречный',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Dл - 0,109/0,043 млн.т.
D1 - 2,241/0,713 млн.т
D1(D3dm) - 172,442/5,173 млн.т
газ (геол./извл.):
D1 - 0,094/0,094 млрд.м3.
конденсат (геол./извл.):
D1 - 0,006/0,003 млн.т', '{"oil": {"Dл": [0.109, "млнт"], "D1": [2.241, "млнт"]}, "gas": {"D1": [0.094, "млрдм3"]}, "cond": {"D1": [0.006, "млнт"]}}'),</v>
      </c>
    </row>
    <row r="16" spans="1:9" ht="102">
      <c r="A16" s="28">
        <v>14</v>
      </c>
      <c r="B16" s="28" t="s">
        <v>62</v>
      </c>
      <c r="C16" s="28" t="s">
        <v>68</v>
      </c>
      <c r="D16" s="28" t="s">
        <v>199</v>
      </c>
      <c r="E16" t="e" cm="1">
        <f t="array" aca="1" ref="E16" ca="1">_xlfn._xlws.PY(5,1,D16)</f>
        <v>#NAME?</v>
      </c>
      <c r="F16" t="s">
        <v>343</v>
      </c>
      <c r="G16" t="s">
        <v>197</v>
      </c>
      <c r="H16" s="14" t="s">
        <v>161</v>
      </c>
      <c r="I16" t="str">
        <f t="shared" si="0"/>
        <v>(2026, '2026-01-02', 'Пермский край', e'Ольховский',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(извл./геол.):
Dл - 0,389/0,119 млн.т
D1 - 3,334/1,315 млн.т
D1(D3dm) - 386,455/11,594 млн.т
газ (извл./геол.):
D1 - 0,097/0,097 млрд.м3;
конденсат (извл./геол.):
D1 - 0,01/0,003 млн.т', '{"oil": {"Dл": [0.389, "млнт"], "D1": [3.334, "млнт"]}, "gas": {"D1": [0.097, "млрдм3"]}, "cond": {"D1": [0.01, "млнт"]}}'),</v>
      </c>
    </row>
    <row r="17" spans="1:9" ht="89.25">
      <c r="A17" s="28">
        <v>15</v>
      </c>
      <c r="B17" s="28" t="s">
        <v>62</v>
      </c>
      <c r="C17" s="28" t="s">
        <v>69</v>
      </c>
      <c r="D17" s="28" t="s">
        <v>200</v>
      </c>
      <c r="E17" t="e" cm="1">
        <f t="array" aca="1" ref="E17" ca="1">_xlfn._xlws.PY(5,1,D17)</f>
        <v>#NAME?</v>
      </c>
      <c r="F17" t="s">
        <v>344</v>
      </c>
      <c r="G17" t="s">
        <v>197</v>
      </c>
      <c r="H17" s="14" t="s">
        <v>161</v>
      </c>
      <c r="I17" t="str">
        <f t="shared" si="0"/>
        <v>(2026, '2026-01-02', 'Пермский край', e'Малыгинский',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(извл./геол.):
D1 - 1,78/0,614 млн.т
D1(D3dm) - 151,245/4,537 млн.т.
газ (извл./геол.):
D1 - 0,076/0,076 млрд.м3;
конденсат (извл./геол.):
D1 - 0,005/0,002 млн.т', '{"oil": {"D1": [1.78, "млнт"]}, "gas": {"D1": [0.076, "млрдм3"]}, "cond": {"D1": [0.005, "млнт"]}}'),</v>
      </c>
    </row>
    <row r="18" spans="1:9" ht="63.75">
      <c r="A18" s="28">
        <v>16</v>
      </c>
      <c r="B18" s="28" t="s">
        <v>62</v>
      </c>
      <c r="C18" s="28" t="s">
        <v>70</v>
      </c>
      <c r="D18" s="28" t="s">
        <v>201</v>
      </c>
      <c r="E18" t="e" cm="1">
        <f t="array" aca="1" ref="E18" ca="1">_xlfn._xlws.PY(5,1,D18)</f>
        <v>#NAME?</v>
      </c>
      <c r="F18" t="s">
        <v>345</v>
      </c>
      <c r="G18" t="s">
        <v>197</v>
      </c>
      <c r="H18" s="14" t="s">
        <v>161</v>
      </c>
      <c r="I18" t="str">
        <f t="shared" si="0"/>
        <v>(2026, '2026-01-02', 'Пермский край', e'Сестринский',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D1 - 2,439/0,748 млн.т,
D1(D3dm)-245,679/7,340 млн.т
газ (геол./извл.):
D1 - 0,015/0,015 млрд. м3', '{"oil": {"D1": [2.439, "млнт"]}, "gas": {"D1": [0.015, "млрд м3"]}}'),</v>
      </c>
    </row>
    <row r="19" spans="1:9" ht="38.25">
      <c r="A19" s="28">
        <v>17</v>
      </c>
      <c r="B19" s="28" t="s">
        <v>62</v>
      </c>
      <c r="C19" s="28" t="s">
        <v>202</v>
      </c>
      <c r="D19" s="28" t="s">
        <v>203</v>
      </c>
      <c r="E19" t="e" cm="1">
        <f t="array" aca="1" ref="E19" ca="1">_xlfn._xlws.PY(5,1,D19)</f>
        <v>#NAME?</v>
      </c>
      <c r="F19" t="s">
        <v>346</v>
      </c>
      <c r="G19" t="s">
        <v>197</v>
      </c>
      <c r="H19" s="14" t="s">
        <v>161</v>
      </c>
      <c r="I19" t="str">
        <f t="shared" si="0"/>
        <v>(2026, '2026-01-02', 'Пермский край', e'Бердышевский',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D1 - 0,266 млн.т,
D1(D3dm)-2,176 млн.т', '{"oil": {"D1": [0.266, "млнт"]}}'),</v>
      </c>
    </row>
    <row r="20" spans="1:9" ht="25.5">
      <c r="A20" s="28">
        <v>18</v>
      </c>
      <c r="B20" s="28" t="s">
        <v>62</v>
      </c>
      <c r="C20" s="28" t="s">
        <v>71</v>
      </c>
      <c r="D20" s="28" t="s">
        <v>204</v>
      </c>
      <c r="E20" t="e" cm="1">
        <f t="array" aca="1" ref="E20" ca="1">_xlfn._xlws.PY(5,1,D20)</f>
        <v>#NAME?</v>
      </c>
      <c r="F20" t="s">
        <v>347</v>
      </c>
      <c r="G20" t="s">
        <v>197</v>
      </c>
      <c r="H20" s="14" t="s">
        <v>161</v>
      </c>
      <c r="I20" t="str">
        <f t="shared" si="0"/>
        <v>(2026, '2026-01-02', 'Пермский край', e'Новоильинский',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D1 - 1,4 млн.т', '{"oil": {"D1": [1.4, "млнт"]}}'),</v>
      </c>
    </row>
    <row r="21" spans="1:9" ht="38.25">
      <c r="A21" s="28">
        <v>19</v>
      </c>
      <c r="B21" s="28" t="s">
        <v>62</v>
      </c>
      <c r="C21" s="28" t="s">
        <v>72</v>
      </c>
      <c r="D21" s="28" t="s">
        <v>205</v>
      </c>
      <c r="E21" t="e" cm="1">
        <f t="array" aca="1" ref="E21" ca="1">_xlfn._xlws.PY(5,1,D21)</f>
        <v>#NAME?</v>
      </c>
      <c r="F21" t="s">
        <v>348</v>
      </c>
      <c r="G21" t="s">
        <v>197</v>
      </c>
      <c r="H21" s="14" t="s">
        <v>161</v>
      </c>
      <c r="I21" t="str">
        <f t="shared" si="0"/>
        <v>(2026, '2026-01-02', 'Пермский край', e'Сурмогский',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D1 - 0,4 млн.т,
D2 - 0,2 млн.т', '{"oil": {"D1": [0.4, "млнт"], "D2": [0.2, "млнт"]}}'),</v>
      </c>
    </row>
    <row r="22" spans="1:9" ht="38.25">
      <c r="A22" s="28">
        <v>20</v>
      </c>
      <c r="B22" s="28" t="s">
        <v>62</v>
      </c>
      <c r="C22" s="28" t="s">
        <v>206</v>
      </c>
      <c r="D22" s="28" t="s">
        <v>207</v>
      </c>
      <c r="E22" t="e" cm="1">
        <f t="array" aca="1" ref="E22" ca="1">_xlfn._xlws.PY(5,1,D22)</f>
        <v>#NAME?</v>
      </c>
      <c r="F22" t="s">
        <v>349</v>
      </c>
      <c r="G22" t="s">
        <v>197</v>
      </c>
      <c r="H22" s="14" t="s">
        <v>161</v>
      </c>
      <c r="I22" t="str">
        <f t="shared" si="0"/>
        <v>(2026, '2026-01-02', 'Пермский край', e'Яйвинский',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D1 - 0,3 млн.т,
D2 - 0,2 млн.т', '{"oil": {"D1": [0.3, "млнт"], "D2": [0.2, "млнт"]}}'),</v>
      </c>
    </row>
    <row r="23" spans="1:9" ht="38.25">
      <c r="A23" s="28">
        <v>21</v>
      </c>
      <c r="B23" s="28" t="s">
        <v>62</v>
      </c>
      <c r="C23" s="28" t="s">
        <v>73</v>
      </c>
      <c r="D23" s="28" t="s">
        <v>208</v>
      </c>
      <c r="E23" t="e" cm="1">
        <f t="array" aca="1" ref="E23" ca="1">_xlfn._xlws.PY(5,1,D23)</f>
        <v>#NAME?</v>
      </c>
      <c r="F23" t="s">
        <v>350</v>
      </c>
      <c r="G23" t="s">
        <v>197</v>
      </c>
      <c r="H23" s="14" t="s">
        <v>161</v>
      </c>
      <c r="I23" t="str">
        <f t="shared" si="0"/>
        <v>(2026, '2026-01-02', 'Пермский край', e'Центрально-Чекурский',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D1 - 0,4 млн.т,
D2 - 0,3 млн.т', '{"oil": {"D1": [0.4, "млнт"], "D2": [0.3, "млнт"]}}'),</v>
      </c>
    </row>
    <row r="24" spans="1:9" ht="38.25">
      <c r="A24" s="28">
        <v>22</v>
      </c>
      <c r="B24" s="28" t="s">
        <v>62</v>
      </c>
      <c r="C24" s="28" t="s">
        <v>209</v>
      </c>
      <c r="D24" s="28" t="s">
        <v>207</v>
      </c>
      <c r="E24" t="e" cm="1">
        <f t="array" aca="1" ref="E24" ca="1">_xlfn._xlws.PY(5,1,D24)</f>
        <v>#NAME?</v>
      </c>
      <c r="F24" t="s">
        <v>349</v>
      </c>
      <c r="G24" t="s">
        <v>197</v>
      </c>
      <c r="H24" s="14" t="s">
        <v>161</v>
      </c>
      <c r="I24" t="str">
        <f t="shared" si="0"/>
        <v>(2026, '2026-01-02', 'Пермский край', e'Мельничный',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D1 - 0,3 млн.т,
D2 - 0,2 млн.т', '{"oil": {"D1": [0.3, "млнт"], "D2": [0.2, "млнт"]}}'),</v>
      </c>
    </row>
    <row r="25" spans="1:9" ht="38.25">
      <c r="A25" s="28">
        <v>23</v>
      </c>
      <c r="B25" s="28" t="s">
        <v>62</v>
      </c>
      <c r="C25" s="28" t="s">
        <v>210</v>
      </c>
      <c r="D25" s="28" t="s">
        <v>211</v>
      </c>
      <c r="E25" t="e" cm="1">
        <f t="array" aca="1" ref="E25" ca="1">_xlfn._xlws.PY(5,1,D25)</f>
        <v>#NAME?</v>
      </c>
      <c r="F25" t="s">
        <v>351</v>
      </c>
      <c r="G25" t="s">
        <v>197</v>
      </c>
      <c r="H25" s="14" t="s">
        <v>161</v>
      </c>
      <c r="I25" t="str">
        <f t="shared" si="0"/>
        <v>(2026, '2026-01-02', 'Пермский край', e'Восточно-Яринский',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D1 - 0,2 млн.т,
D2 - 0,1 млн.т', '{"oil": {"D1": [0.2, "млнт"], "D2": [0.1, "млнт"]}}'),</v>
      </c>
    </row>
    <row r="26" spans="1:9" ht="25.5">
      <c r="A26" s="28">
        <v>24</v>
      </c>
      <c r="B26" s="28" t="s">
        <v>62</v>
      </c>
      <c r="C26" s="28" t="s">
        <v>212</v>
      </c>
      <c r="D26" s="28" t="s">
        <v>213</v>
      </c>
      <c r="E26" t="e" cm="1">
        <f t="array" aca="1" ref="E26" ca="1">_xlfn._xlws.PY(5,1,D26)</f>
        <v>#NAME?</v>
      </c>
      <c r="F26" t="s">
        <v>352</v>
      </c>
      <c r="G26" t="s">
        <v>197</v>
      </c>
      <c r="H26" s="14" t="s">
        <v>161</v>
      </c>
      <c r="I26" t="str">
        <f t="shared" si="0"/>
        <v>(2026, '2026-01-02', 'Пермский край', e'Конюшорский',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D0 - 0,25 млн.т', '{"oil": {"D0": [0.25, "млнт"]}}'),</v>
      </c>
    </row>
    <row r="27" spans="1:9" ht="25.5">
      <c r="A27" s="28">
        <v>25</v>
      </c>
      <c r="B27" s="28" t="s">
        <v>62</v>
      </c>
      <c r="C27" s="28" t="s">
        <v>214</v>
      </c>
      <c r="D27" s="28" t="s">
        <v>215</v>
      </c>
      <c r="E27" t="e" cm="1">
        <f t="array" aca="1" ref="E27" ca="1">_xlfn._xlws.PY(5,1,D27)</f>
        <v>#NAME?</v>
      </c>
      <c r="F27" t="s">
        <v>353</v>
      </c>
      <c r="G27" t="s">
        <v>197</v>
      </c>
      <c r="H27" s="14" t="s">
        <v>161</v>
      </c>
      <c r="I27" t="str">
        <f t="shared" si="0"/>
        <v>(2026, '2026-01-02', 'Пермский край', e'Летовский',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D0 - 0,138 млн.т', '{"oil": {"D0": [0.138, "млнт"]}}'),</v>
      </c>
    </row>
    <row r="28" spans="1:9" ht="25.5">
      <c r="A28" s="28">
        <v>26</v>
      </c>
      <c r="B28" s="28" t="s">
        <v>62</v>
      </c>
      <c r="C28" s="28" t="s">
        <v>216</v>
      </c>
      <c r="D28" s="28" t="s">
        <v>217</v>
      </c>
      <c r="E28" t="e" cm="1">
        <f t="array" aca="1" ref="E28" ca="1">_xlfn._xlws.PY(5,1,D28)</f>
        <v>#NAME?</v>
      </c>
      <c r="F28" t="s">
        <v>354</v>
      </c>
      <c r="G28" t="s">
        <v>197</v>
      </c>
      <c r="H28" s="14" t="s">
        <v>161</v>
      </c>
      <c r="I28" t="str">
        <f t="shared" si="0"/>
        <v>(2026, '2026-01-02', 'Пермский край', e'Мыльниковский',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e'нефть:
D1 - 2,2 млн.т', '{"oil": {"D1": [2.2, "млнт"]}}'),</v>
      </c>
    </row>
    <row r="29" spans="1:9" ht="38.25">
      <c r="A29" s="28">
        <v>27</v>
      </c>
      <c r="B29" s="28" t="s">
        <v>62</v>
      </c>
      <c r="C29" s="28" t="s">
        <v>218</v>
      </c>
      <c r="D29" s="28" t="s">
        <v>207</v>
      </c>
      <c r="E29" t="e" cm="1">
        <f t="array" aca="1" ref="E29" ca="1">_xlfn._xlws.PY(5,1,D29)</f>
        <v>#NAME?</v>
      </c>
      <c r="F29" t="s">
        <v>349</v>
      </c>
      <c r="G29" t="s">
        <v>197</v>
      </c>
      <c r="H29" s="14" t="s">
        <v>161</v>
      </c>
      <c r="I29" t="str">
        <f t="shared" si="0"/>
        <v>(2026, '2026-01-02', 'Пермский край', e'Колыновский',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D1 - 0,3 млн.т,
D2 - 0,2 млн.т', '{"oil": {"D1": [0.3, "млнт"], "D2": [0.2, "млнт"]}}'),</v>
      </c>
    </row>
    <row r="30" spans="1:9" ht="38.25">
      <c r="A30" s="28">
        <v>28</v>
      </c>
      <c r="B30" s="28" t="s">
        <v>219</v>
      </c>
      <c r="C30" s="28" t="s">
        <v>220</v>
      </c>
      <c r="D30" s="28" t="s">
        <v>221</v>
      </c>
      <c r="E30" t="e" cm="1">
        <f t="array" aca="1" ref="E30" ca="1">_xlfn._xlws.PY(5,1,D30)</f>
        <v>#NAME?</v>
      </c>
      <c r="F30" t="s">
        <v>355</v>
      </c>
      <c r="G30" t="s">
        <v>197</v>
      </c>
      <c r="H30" s="14" t="s">
        <v>161</v>
      </c>
      <c r="I30" t="str">
        <f t="shared" si="0"/>
        <v>(2026, '2026-01-02', 'Республика Башкортостан', e'Южно-Салаевский',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Dл - 2,201/0,927 млн.т
D1(D3dm) - 34,453/1,034 млн.т', '{"oil": {"Dл": [2.201, "млнт"]}}'),</v>
      </c>
    </row>
    <row r="31" spans="1:9" ht="89.25">
      <c r="A31" s="28">
        <v>29</v>
      </c>
      <c r="B31" s="28" t="s">
        <v>219</v>
      </c>
      <c r="C31" s="28" t="s">
        <v>222</v>
      </c>
      <c r="D31" s="28" t="s">
        <v>223</v>
      </c>
      <c r="E31" t="e" cm="1">
        <f t="array" aca="1" ref="E31" ca="1">_xlfn._xlws.PY(5,1,D31)</f>
        <v>#NAME?</v>
      </c>
      <c r="F31" t="s">
        <v>356</v>
      </c>
      <c r="G31" t="s">
        <v>197</v>
      </c>
      <c r="H31" s="14" t="s">
        <v>161</v>
      </c>
      <c r="I31" t="str">
        <f t="shared" si="0"/>
        <v>(2026, '2026-01-02', 'Республика Башкортостан', e'Куязинский',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(извл./геол.):
D0 - 1,752/0,979 млн.т,
Dл - 2,2/1,229 млн.т,
D1 - 1,649/0,644 млн.т,
D1(D3dm) - 551,115/16,533 млн.т;
газ (извл./геол.):
D2 - 0,113/0,113 млрд.м3', '{"oil": {"D0": [1.752, "млнт"], "Dл": [2.2, "млнт"], "D1": [1.649, "млнт"]}, "gas": {"D2": [0.113, "млрдм3"]}}'),</v>
      </c>
    </row>
    <row r="32" spans="1:9" ht="25.5">
      <c r="A32" s="28">
        <v>30</v>
      </c>
      <c r="B32" s="28" t="s">
        <v>219</v>
      </c>
      <c r="C32" s="28" t="s">
        <v>224</v>
      </c>
      <c r="D32" s="28" t="s">
        <v>225</v>
      </c>
      <c r="E32" t="e" cm="1">
        <f t="array" aca="1" ref="E32" ca="1">_xlfn._xlws.PY(5,1,D32)</f>
        <v>#NAME?</v>
      </c>
      <c r="F32" t="s">
        <v>357</v>
      </c>
      <c r="G32" t="s">
        <v>197</v>
      </c>
      <c r="H32" s="14" t="s">
        <v>161</v>
      </c>
      <c r="I32" t="str">
        <f t="shared" si="0"/>
        <v>(2026, '2026-01-02', 'Республика Башкортостан', e'Муслюмовский',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
C1 - 1,584 млрд.м3', '{"gas": {"C1": [1.584, "млрдм3"]}}'),</v>
      </c>
    </row>
    <row r="33" spans="1:9" ht="38.25">
      <c r="A33" s="28">
        <v>31</v>
      </c>
      <c r="B33" s="28" t="s">
        <v>219</v>
      </c>
      <c r="C33" s="28" t="s">
        <v>226</v>
      </c>
      <c r="D33" s="28" t="s">
        <v>208</v>
      </c>
      <c r="E33" t="e" cm="1">
        <f t="array" aca="1" ref="E33" ca="1">_xlfn._xlws.PY(5,1,D33)</f>
        <v>#NAME?</v>
      </c>
      <c r="F33" t="s">
        <v>350</v>
      </c>
      <c r="G33" t="s">
        <v>197</v>
      </c>
      <c r="H33" s="14" t="s">
        <v>161</v>
      </c>
      <c r="I33" t="str">
        <f t="shared" si="0"/>
        <v>(2026, '2026-01-02', 'Республика Башкортостан', e'Кармаскалинский',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D1 - 0,4 млн.т,
D2 - 0,3 млн.т', '{"oil": {"D1": [0.4, "млнт"], "D2": [0.3, "млнт"]}}'),</v>
      </c>
    </row>
    <row r="34" spans="1:9" ht="38.25">
      <c r="A34" s="28">
        <v>32</v>
      </c>
      <c r="B34" s="28" t="s">
        <v>219</v>
      </c>
      <c r="C34" s="28" t="s">
        <v>227</v>
      </c>
      <c r="D34" s="28" t="s">
        <v>207</v>
      </c>
      <c r="E34" t="e" cm="1">
        <f t="array" aca="1" ref="E34" ca="1">_xlfn._xlws.PY(5,1,D34)</f>
        <v>#NAME?</v>
      </c>
      <c r="F34" t="s">
        <v>349</v>
      </c>
      <c r="G34" t="s">
        <v>197</v>
      </c>
      <c r="H34" s="14" t="s">
        <v>161</v>
      </c>
      <c r="I34" t="str">
        <f t="shared" si="0"/>
        <v>(2026, '2026-01-02', 'Республика Башкортостан', e'Кармышевский',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D1 - 0,3 млн.т,
D2 - 0,2 млн.т', '{"oil": {"D1": [0.3, "млнт"], "D2": [0.2, "млнт"]}}'),</v>
      </c>
    </row>
    <row r="35" spans="1:9" ht="25.5">
      <c r="A35" s="28">
        <v>33</v>
      </c>
      <c r="B35" s="28" t="s">
        <v>219</v>
      </c>
      <c r="C35" s="28" t="s">
        <v>228</v>
      </c>
      <c r="D35" s="28" t="s">
        <v>229</v>
      </c>
      <c r="E35" t="e" cm="1">
        <f t="array" aca="1" ref="E35" ca="1">_xlfn._xlws.PY(5,1,D35)</f>
        <v>#NAME?</v>
      </c>
      <c r="F35" t="s">
        <v>358</v>
      </c>
      <c r="G35" t="s">
        <v>197</v>
      </c>
      <c r="H35" s="14" t="s">
        <v>161</v>
      </c>
      <c r="I35" t="str">
        <f t="shared" si="0"/>
        <v>(2026, '2026-01-02', 'Республика Башкортостан', e'Тюр-Седякский',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D0 - 1,671 млн.т', '{"oil": {"D0": [1.671, "млнт"]}}'),</v>
      </c>
    </row>
    <row r="36" spans="1:9" ht="38.25">
      <c r="A36" s="28">
        <v>34</v>
      </c>
      <c r="B36" s="28" t="s">
        <v>219</v>
      </c>
      <c r="C36" s="28" t="s">
        <v>230</v>
      </c>
      <c r="D36" s="28" t="s">
        <v>205</v>
      </c>
      <c r="E36" t="e" cm="1">
        <f t="array" aca="1" ref="E36" ca="1">_xlfn._xlws.PY(5,1,D36)</f>
        <v>#NAME?</v>
      </c>
      <c r="F36" t="s">
        <v>348</v>
      </c>
      <c r="G36" t="s">
        <v>197</v>
      </c>
      <c r="H36" s="14" t="s">
        <v>161</v>
      </c>
      <c r="I36" t="str">
        <f t="shared" si="0"/>
        <v>(2026, '2026-01-02', 'Республика Башкортостан', e'Рассветовский',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D1 - 0,4 млн.т,
D2 - 0,2 млн.т', '{"oil": {"D1": [0.4, "млнт"], "D2": [0.2, "млнт"]}}'),</v>
      </c>
    </row>
    <row r="37" spans="1:9" ht="25.5">
      <c r="A37" s="28">
        <v>35</v>
      </c>
      <c r="B37" s="28" t="s">
        <v>74</v>
      </c>
      <c r="C37" s="28" t="s">
        <v>231</v>
      </c>
      <c r="D37" s="28" t="s">
        <v>232</v>
      </c>
      <c r="E37" t="e" cm="1">
        <f t="array" aca="1" ref="E37" ca="1">_xlfn._xlws.PY(5,1,D37)</f>
        <v>#NAME?</v>
      </c>
      <c r="F37" t="s">
        <v>359</v>
      </c>
      <c r="G37" t="s">
        <v>197</v>
      </c>
      <c r="H37" s="14" t="s">
        <v>161</v>
      </c>
      <c r="I37" t="str">
        <f t="shared" si="0"/>
        <v>(2026, '2026-01-02', 'Республика Дагестан', e'Наказухский',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B1 - 0.003 млн.т', '{"oil": {"B1": [0.003, "млнт"]}}'),</v>
      </c>
    </row>
    <row r="38" spans="1:9" ht="25.5">
      <c r="A38" s="28">
        <v>36</v>
      </c>
      <c r="B38" s="28" t="s">
        <v>74</v>
      </c>
      <c r="C38" s="28" t="s">
        <v>233</v>
      </c>
      <c r="D38" s="28" t="s">
        <v>232</v>
      </c>
      <c r="E38" t="e" cm="1">
        <f t="array" aca="1" ref="E38" ca="1">_xlfn._xlws.PY(5,1,D38)</f>
        <v>#NAME?</v>
      </c>
      <c r="F38" t="s">
        <v>359</v>
      </c>
      <c r="G38" t="s">
        <v>197</v>
      </c>
      <c r="H38" s="14" t="s">
        <v>161</v>
      </c>
      <c r="I38" t="str">
        <f t="shared" si="0"/>
        <v>(2026, '2026-01-02', 'Республика Дагестан', e'Октябрьский',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B1 - 0.003 млн.т', '{"oil": {"B1": [0.003, "млнт"]}}'),</v>
      </c>
    </row>
    <row r="39" spans="1:9" ht="25.5">
      <c r="A39" s="28">
        <v>37</v>
      </c>
      <c r="B39" s="28" t="s">
        <v>74</v>
      </c>
      <c r="C39" s="28" t="s">
        <v>234</v>
      </c>
      <c r="D39" s="28" t="s">
        <v>235</v>
      </c>
      <c r="E39" t="e" cm="1">
        <f t="array" aca="1" ref="E39" ca="1">_xlfn._xlws.PY(5,1,D39)</f>
        <v>#NAME?</v>
      </c>
      <c r="F39" t="s">
        <v>360</v>
      </c>
      <c r="G39" t="s">
        <v>197</v>
      </c>
      <c r="H39" s="14" t="s">
        <v>161</v>
      </c>
      <c r="I39" t="str">
        <f t="shared" si="0"/>
        <v>(2026, '2026-01-02', 'Республика Дагестан', e'Манасозень',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D1 - 0,5 млрд.м3', '{"gas": {"D1": [0.5, "млрдм3"]}}'),</v>
      </c>
    </row>
    <row r="40" spans="1:9" ht="25.5">
      <c r="A40" s="28">
        <v>38</v>
      </c>
      <c r="B40" s="28" t="s">
        <v>74</v>
      </c>
      <c r="C40" s="28" t="s">
        <v>75</v>
      </c>
      <c r="D40" s="28" t="s">
        <v>76</v>
      </c>
      <c r="E40" t="e" cm="1">
        <f t="array" aca="1" ref="E40" ca="1">_xlfn._xlws.PY(5,1,D40)</f>
        <v>#NAME?</v>
      </c>
      <c r="F40" t="s">
        <v>169</v>
      </c>
      <c r="G40" t="s">
        <v>197</v>
      </c>
      <c r="H40" s="14" t="s">
        <v>161</v>
      </c>
      <c r="I40" t="str">
        <f t="shared" si="0"/>
        <v>(2026, '2026-01-02', 'Республика Дагестан', e'Северо-Юбилейный',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B1 - 0,102 млн т', '{"oil": {"B1": [0.102, "млн т"]}}'),</v>
      </c>
    </row>
    <row r="41" spans="1:9" ht="153">
      <c r="A41" s="28">
        <v>39</v>
      </c>
      <c r="B41" s="28" t="s">
        <v>77</v>
      </c>
      <c r="C41" s="28" t="s">
        <v>78</v>
      </c>
      <c r="D41" s="28" t="s">
        <v>79</v>
      </c>
      <c r="E41" t="e" cm="1">
        <f t="array" aca="1" ref="E41" ca="1">_xlfn._xlws.PY(5,1,D41)</f>
        <v>#NAME?</v>
      </c>
      <c r="F41" t="s">
        <v>170</v>
      </c>
      <c r="G41" t="s">
        <v>197</v>
      </c>
      <c r="H41" s="14" t="s">
        <v>161</v>
      </c>
      <c r="I41" t="str">
        <f t="shared" si="0"/>
        <v>(2026, '2026-01-02', 'Республика Калмыкия', e'Моктинский',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т', '{"oil": {"D1": [0.081, "млн т"], "D2": [0.003, "млн т"]}, "gas": {"C1": [0.139, "млрд м3"], "C2": [0.522, "млрд м3"], "D1": [0.777, "млрд м3"], "D2": [0.044, "млрд м3"]}, "cond": {"C1": [0.002, "млн т"], "C2": [0.008, "млн т"], "D1": [0.036, "млн т"]}}'),</v>
      </c>
    </row>
    <row r="42" spans="1:9" ht="25.5">
      <c r="A42" s="28">
        <v>40</v>
      </c>
      <c r="B42" s="28" t="s">
        <v>80</v>
      </c>
      <c r="C42" s="28" t="s">
        <v>81</v>
      </c>
      <c r="D42" s="28" t="s">
        <v>82</v>
      </c>
      <c r="E42" t="e" cm="1">
        <f t="array" aca="1" ref="E42" ca="1">_xlfn._xlws.PY(5,1,D42)</f>
        <v>#NAME?</v>
      </c>
      <c r="F42" t="s">
        <v>171</v>
      </c>
      <c r="G42" t="s">
        <v>197</v>
      </c>
      <c r="H42" s="14" t="s">
        <v>161</v>
      </c>
      <c r="I42" t="str">
        <f t="shared" si="0"/>
        <v>(2026, '2026-01-02', 'Республика Коми', e'Нямедский',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C1 - 0,007 млрд м3', '{"gas": {"C1": [0.007, "млрд м3"]}}'),</v>
      </c>
    </row>
    <row r="43" spans="1:9" ht="25.5">
      <c r="A43" s="28">
        <v>41</v>
      </c>
      <c r="B43" s="28" t="s">
        <v>80</v>
      </c>
      <c r="C43" s="28" t="s">
        <v>83</v>
      </c>
      <c r="D43" s="28" t="s">
        <v>84</v>
      </c>
      <c r="E43" t="e" cm="1">
        <f t="array" aca="1" ref="E43" ca="1">_xlfn._xlws.PY(5,1,D43)</f>
        <v>#NAME?</v>
      </c>
      <c r="F43" t="s">
        <v>172</v>
      </c>
      <c r="G43" t="s">
        <v>197</v>
      </c>
      <c r="H43" s="14" t="s">
        <v>161</v>
      </c>
      <c r="I43" t="str">
        <f t="shared" si="0"/>
        <v>(2026, '2026-01-02', 'Республика Коми', e'Эжвадорский',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C1 - 0,414 млрд м3', '{"gas": {"C1": [0.414, "млрд м3"]}}'),</v>
      </c>
    </row>
    <row r="44" spans="1:9" ht="25.5">
      <c r="A44" s="28">
        <v>42</v>
      </c>
      <c r="B44" s="28" t="s">
        <v>80</v>
      </c>
      <c r="C44" s="28" t="s">
        <v>85</v>
      </c>
      <c r="D44" s="28" t="s">
        <v>86</v>
      </c>
      <c r="E44" t="e" cm="1">
        <f t="array" aca="1" ref="E44" ca="1">_xlfn._xlws.PY(5,1,D44)</f>
        <v>#NAME?</v>
      </c>
      <c r="F44" t="s">
        <v>173</v>
      </c>
      <c r="G44" t="s">
        <v>197</v>
      </c>
      <c r="H44" s="14" t="s">
        <v>161</v>
      </c>
      <c r="I44" t="str">
        <f t="shared" si="0"/>
        <v>(2026, '2026-01-02', 'Республика Коми', e'Северо-Седъельский',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C1 - 0,039 млрд м3', '{"gas": {"C1": [0.039, "млрд м3"]}}'),</v>
      </c>
    </row>
    <row r="45" spans="1:9" ht="25.5">
      <c r="A45" s="28">
        <v>43</v>
      </c>
      <c r="B45" s="28" t="s">
        <v>80</v>
      </c>
      <c r="C45" s="28" t="s">
        <v>87</v>
      </c>
      <c r="D45" s="28" t="s">
        <v>88</v>
      </c>
      <c r="E45" t="e" cm="1">
        <f t="array" aca="1" ref="E45" ca="1">_xlfn._xlws.PY(5,1,D45)</f>
        <v>#NAME?</v>
      </c>
      <c r="F45" t="s">
        <v>174</v>
      </c>
      <c r="G45" t="s">
        <v>197</v>
      </c>
      <c r="H45" s="14" t="s">
        <v>161</v>
      </c>
      <c r="I45" t="str">
        <f t="shared" si="0"/>
        <v>(2026, '2026-01-02', 'Республика Коми', e'Кушкоджский',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C1 - 0,090 млрд м3', '{"gas": {"C1": [0.09, "млрд м3"]}}'),</v>
      </c>
    </row>
    <row r="46" spans="1:9" ht="51">
      <c r="A46" s="28">
        <v>44</v>
      </c>
      <c r="B46" s="28" t="s">
        <v>80</v>
      </c>
      <c r="C46" s="28" t="s">
        <v>89</v>
      </c>
      <c r="D46" s="28" t="s">
        <v>90</v>
      </c>
      <c r="E46" t="e" cm="1">
        <f t="array" aca="1" ref="E46" ca="1">_xlfn._xlws.PY(5,1,D46)</f>
        <v>#NAME?</v>
      </c>
      <c r="F46" t="s">
        <v>175</v>
      </c>
      <c r="G46" t="s">
        <v>197</v>
      </c>
      <c r="H46" s="14" t="s">
        <v>161</v>
      </c>
      <c r="I46" t="str">
        <f t="shared" si="0"/>
        <v>(2026, '2026-01-02', 'Республика Коми', e'Дорожный',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C1 - 1,875/0,015 млн т
газ (извл.)
C1 - 0,487 млрд м3', '{"oil": {"C1": [1.875, "млн т"]}, "gas": {"C1": [0.487, "млрд м3"]}}'),</v>
      </c>
    </row>
    <row r="47" spans="1:9" ht="102">
      <c r="A47" s="28">
        <v>45</v>
      </c>
      <c r="B47" s="28" t="s">
        <v>91</v>
      </c>
      <c r="C47" s="28" t="s">
        <v>92</v>
      </c>
      <c r="D47" s="28" t="s">
        <v>93</v>
      </c>
      <c r="E47" t="e" cm="1">
        <f t="array" aca="1" ref="E47" ca="1">_xlfn._xlws.PY(5,1,D47)</f>
        <v>#NAME?</v>
      </c>
      <c r="F47" t="s">
        <v>176</v>
      </c>
      <c r="G47" t="s">
        <v>197</v>
      </c>
      <c r="H47" s="14" t="s">
        <v>161</v>
      </c>
      <c r="I47" t="str">
        <f t="shared" si="0"/>
        <v>(2026, '2026-01-02', 'Ненецкий автономный округ', e'Шапкинский',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Dл - 23,920/10,764 млн т
D1 - 1,067/0,345 млн т
D2 - 0,973/0,197 млн т;
газ (геол./извл.):
D1 - 1,63/1,63 млрд м3
D2 - 0,133/0,133 млрд м3
C1 - 3,291/3,291 млрд м3', '{"oil": {"Dл": [23.92, "млн т"], "D1": [1.067, "млн т"], "D2": [0.973, "млн т"]}, "gas": {"D1": [1.63, "млрд м3"], "D2": [0.133, "млрд м3"], "C1": [3.291, "млрд м3"]}}'),</v>
      </c>
    </row>
    <row r="48" spans="1:9" ht="51">
      <c r="A48" s="28">
        <v>46</v>
      </c>
      <c r="B48" s="28" t="s">
        <v>94</v>
      </c>
      <c r="C48" s="28" t="s">
        <v>95</v>
      </c>
      <c r="D48" s="28" t="s">
        <v>96</v>
      </c>
      <c r="E48" t="e" cm="1">
        <f t="array" aca="1" ref="E48" ca="1">_xlfn._xlws.PY(5,1,D48)</f>
        <v>#NAME?</v>
      </c>
      <c r="F48" t="s">
        <v>177</v>
      </c>
      <c r="G48" t="s">
        <v>197</v>
      </c>
      <c r="H48" s="14" t="s">
        <v>161</v>
      </c>
      <c r="I48" t="str">
        <f t="shared" si="0"/>
        <v>(2026, '2026-01-02', 'Республика Саха (Якутия)', e'Мунско-Сянский',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Dл - 785,35 млн т
газ (извл.):
Dл - 67,74 млрд м3', '{"oil": {"Dл": [785.35, "млн т"]}, "gas": {"Dл": [67.74, "млрд м3"]}}'),</v>
      </c>
    </row>
    <row r="49" spans="1:9" ht="51">
      <c r="A49" s="28">
        <v>47</v>
      </c>
      <c r="B49" s="28" t="s">
        <v>94</v>
      </c>
      <c r="C49" s="28" t="s">
        <v>97</v>
      </c>
      <c r="D49" s="28" t="s">
        <v>98</v>
      </c>
      <c r="E49" t="e" cm="1">
        <f t="array" aca="1" ref="E49" ca="1">_xlfn._xlws.PY(5,1,D49)</f>
        <v>#NAME?</v>
      </c>
      <c r="F49" t="s">
        <v>178</v>
      </c>
      <c r="G49" t="s">
        <v>197</v>
      </c>
      <c r="H49" s="14" t="s">
        <v>161</v>
      </c>
      <c r="I49" t="str">
        <f t="shared" si="0"/>
        <v>(2026, '2026-01-02', 'Республика Саха (Якутия)', e'Ундюлюнгский',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Dл - 1178,979 млрд м3;
конденсат (извл.):
Dл - 31,12 млн т', '{"gas": {"Dл": [1178.979, "млрд м3"]}, "cond": {"Dл": [31.12, "млн т"]}}'),</v>
      </c>
    </row>
    <row r="50" spans="1:9" ht="51">
      <c r="A50" s="28">
        <v>48</v>
      </c>
      <c r="B50" s="28" t="s">
        <v>94</v>
      </c>
      <c r="C50" s="28" t="s">
        <v>99</v>
      </c>
      <c r="D50" s="28" t="s">
        <v>100</v>
      </c>
      <c r="E50" t="e" cm="1">
        <f t="array" aca="1" ref="E50" ca="1">_xlfn._xlws.PY(5,1,D50)</f>
        <v>#NAME?</v>
      </c>
      <c r="F50" t="s">
        <v>179</v>
      </c>
      <c r="G50" t="s">
        <v>197</v>
      </c>
      <c r="H50" s="14" t="s">
        <v>161</v>
      </c>
      <c r="I50" t="str">
        <f t="shared" si="0"/>
        <v>(2026, '2026-01-02', 'Республика Саха (Якутия)', e'Жиганский 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Dл - 459 млн т
газ (извл.):
Dл - 376,8 млрд м3', '{"oil": {"Dл": [459.0, "млн т"]}, "gas": {"Dл": [376.8, "млрд м3"]}}'),</v>
      </c>
    </row>
    <row r="51" spans="1:9" ht="51">
      <c r="A51" s="28">
        <v>49</v>
      </c>
      <c r="B51" s="28" t="s">
        <v>94</v>
      </c>
      <c r="C51" s="28" t="s">
        <v>101</v>
      </c>
      <c r="D51" s="28" t="s">
        <v>236</v>
      </c>
      <c r="E51" t="e" cm="1">
        <f t="array" aca="1" ref="E51" ca="1">_xlfn._xlws.PY(5,1,D51)</f>
        <v>#NAME?</v>
      </c>
      <c r="F51" t="s">
        <v>361</v>
      </c>
      <c r="G51" t="s">
        <v>197</v>
      </c>
      <c r="H51" s="14" t="s">
        <v>161</v>
      </c>
      <c r="I51" t="str">
        <f t="shared" si="0"/>
        <v>(2026, '2026-01-02', 'Республика Саха (Якутия)', e'Жиганский 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Dл - 138 млн.т.
газ (извл.):
Dл - 299 млрд.м3', '{"oil": {"Dл": [138.0, "млнт"]}, "gas": {"Dл": [299.0, "млрдм3"]}}'),</v>
      </c>
    </row>
    <row r="52" spans="1:9" ht="51">
      <c r="A52" s="28">
        <v>50</v>
      </c>
      <c r="B52" s="28" t="s">
        <v>94</v>
      </c>
      <c r="C52" s="28" t="s">
        <v>237</v>
      </c>
      <c r="D52" s="28" t="s">
        <v>238</v>
      </c>
      <c r="E52" t="e" cm="1">
        <f t="array" aca="1" ref="E52" ca="1">_xlfn._xlws.PY(5,1,D52)</f>
        <v>#NAME?</v>
      </c>
      <c r="F52" t="s">
        <v>362</v>
      </c>
      <c r="G52" t="s">
        <v>197</v>
      </c>
      <c r="H52" s="14" t="s">
        <v>161</v>
      </c>
      <c r="I52" t="str">
        <f t="shared" si="0"/>
        <v>(2026, '2026-01-02', 'Республика Саха (Якутия)', e'Восточно-Линденский',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Dл - 781,5 млрд.м3;
конденсат (извл.):
Dл - 16,9 млн.т.', '{"gas": {"Dл": [781.5, "млрдм3"]}, "cond": {"Dл": [16.9, "млнт"]}}'),</v>
      </c>
    </row>
    <row r="53" spans="1:9" ht="51">
      <c r="A53" s="28">
        <v>51</v>
      </c>
      <c r="B53" s="28" t="s">
        <v>94</v>
      </c>
      <c r="C53" s="28" t="s">
        <v>239</v>
      </c>
      <c r="D53" s="28" t="s">
        <v>240</v>
      </c>
      <c r="E53" t="e" cm="1">
        <f t="array" aca="1" ref="E53" ca="1">_xlfn._xlws.PY(5,1,D53)</f>
        <v>#NAME?</v>
      </c>
      <c r="F53" t="s">
        <v>363</v>
      </c>
      <c r="G53" t="s">
        <v>197</v>
      </c>
      <c r="H53" s="14" t="s">
        <v>161</v>
      </c>
      <c r="I53" t="str">
        <f t="shared" si="0"/>
        <v>(2026, '2026-01-02', 'Республика Саха (Якутия)', e'Соболох-Маянский',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Dл - 798,7 млрд.м3;
конденсат (извл.):
Dл - 11,5 млн.т.', '{"gas": {"Dл": [798.7, "млрдм3"]}, "cond": {"Dл": [11.5, "млнт"]}}'),</v>
      </c>
    </row>
    <row r="54" spans="1:9" ht="25.5">
      <c r="A54" s="28">
        <v>52</v>
      </c>
      <c r="B54" s="28" t="s">
        <v>94</v>
      </c>
      <c r="C54" s="28" t="s">
        <v>241</v>
      </c>
      <c r="D54" s="28" t="s">
        <v>242</v>
      </c>
      <c r="E54" t="e" cm="1">
        <f t="array" aca="1" ref="E54" ca="1">_xlfn._xlws.PY(5,1,D54)</f>
        <v>#NAME?</v>
      </c>
      <c r="F54" t="s">
        <v>364</v>
      </c>
      <c r="G54" t="s">
        <v>197</v>
      </c>
      <c r="H54" s="14" t="s">
        <v>161</v>
      </c>
      <c r="I54" t="str">
        <f t="shared" si="0"/>
        <v>(2026, '2026-01-02', 'Республика Саха (Якутия)', e'Усть-Вилюйский',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C1 - 0,762 млрд.м3', '{"gas": {"C1": [0.762, "млрдм3"]}}'),</v>
      </c>
    </row>
    <row r="55" spans="1:9" ht="89.25">
      <c r="A55" s="28">
        <v>53</v>
      </c>
      <c r="B55" s="28" t="s">
        <v>243</v>
      </c>
      <c r="C55" s="28" t="s">
        <v>244</v>
      </c>
      <c r="D55" s="28" t="s">
        <v>245</v>
      </c>
      <c r="E55" t="e" cm="1">
        <f t="array" aca="1" ref="E55" ca="1">_xlfn._xlws.PY(5,1,D55)</f>
        <v>#NAME?</v>
      </c>
      <c r="F55" t="s">
        <v>365</v>
      </c>
      <c r="G55" t="s">
        <v>197</v>
      </c>
      <c r="H55" s="14" t="s">
        <v>161</v>
      </c>
      <c r="I55" t="str">
        <f t="shared" si="0"/>
        <v>(2026, '2026-01-02', 'Самарская область', e'Северо-Иргизский',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D1 - 5,134 млн.т;
D1(D3dm) - 8,9 млн.т.
газ (извл.):
D1 - 0,604 млрд. м3;
конденсат (извл.):
D1 - 0,01 млн.т', '{"oil": {"D1": [5.134, "млнт"]}, "gas": {"D1": [0.604, "млрд м3"]}, "cond": {"D1": [0.01, "млнт"]}}'),</v>
      </c>
    </row>
    <row r="56" spans="1:9" ht="38.25">
      <c r="A56" s="28">
        <v>54</v>
      </c>
      <c r="B56" s="28" t="s">
        <v>243</v>
      </c>
      <c r="C56" s="28" t="s">
        <v>246</v>
      </c>
      <c r="D56" s="28" t="s">
        <v>247</v>
      </c>
      <c r="E56" t="e" cm="1">
        <f t="array" aca="1" ref="E56" ca="1">_xlfn._xlws.PY(5,1,D56)</f>
        <v>#NAME?</v>
      </c>
      <c r="F56" t="s">
        <v>366</v>
      </c>
      <c r="G56" t="s">
        <v>197</v>
      </c>
      <c r="H56" s="14" t="s">
        <v>161</v>
      </c>
      <c r="I56" t="str">
        <f t="shared" si="0"/>
        <v>(2026, '2026-01-02', 'Самарская область', e'Восточно-Каревский',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
Dл - 11,058 млн.т
D1(D3dm) - 12,96 млн.т', '{"oil": {"Dл": [11.058, "млнт"]}}'),</v>
      </c>
    </row>
    <row r="57" spans="1:9" ht="51">
      <c r="A57" s="28">
        <v>55</v>
      </c>
      <c r="B57" s="28" t="s">
        <v>243</v>
      </c>
      <c r="C57" s="28" t="s">
        <v>248</v>
      </c>
      <c r="D57" s="28" t="s">
        <v>249</v>
      </c>
      <c r="E57" t="e" cm="1">
        <f t="array" aca="1" ref="E57" ca="1">_xlfn._xlws.PY(5,1,D57)</f>
        <v>#NAME?</v>
      </c>
      <c r="F57" t="s">
        <v>367</v>
      </c>
      <c r="G57" t="s">
        <v>197</v>
      </c>
      <c r="H57" s="14" t="s">
        <v>161</v>
      </c>
      <c r="I57" t="str">
        <f t="shared" si="0"/>
        <v>(2026, '2026-01-02', 'Самарская область', e'Зеленогорский',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
D0 - 4,901/1,934 млн.т.
Dл - 4,876/1,881 млн.т.
D1(D3dm) - 315,904/9,477 млн.т.', '{"oil": {"D0": [4.901, "млнт"], "Dл": [4.876, "млнт"]}}'),</v>
      </c>
    </row>
    <row r="58" spans="1:9" ht="38.25">
      <c r="A58" s="28">
        <v>56</v>
      </c>
      <c r="B58" s="28" t="s">
        <v>250</v>
      </c>
      <c r="C58" s="28" t="s">
        <v>251</v>
      </c>
      <c r="D58" s="28" t="s">
        <v>252</v>
      </c>
      <c r="E58" t="e" cm="1">
        <f t="array" aca="1" ref="E58" ca="1">_xlfn._xlws.PY(5,1,D58)</f>
        <v>#NAME?</v>
      </c>
      <c r="F58" t="s">
        <v>368</v>
      </c>
      <c r="G58" t="s">
        <v>197</v>
      </c>
      <c r="H58" s="14" t="s">
        <v>161</v>
      </c>
      <c r="I58" t="str">
        <f t="shared" si="0"/>
        <v>(2026, '2026-01-02', 'Саратовская область', e'Гвардейский',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(геол./извл.):
C1 - 0,5/0,5 млрд. м3
C2 - 0,8/0,8 млрд. м3', '{"gas": {"C1": [0.5, "млрд м3"], "C2": [0.8, "млрд м3"]}}'),</v>
      </c>
    </row>
    <row r="59" spans="1:9" ht="63.75">
      <c r="A59" s="28">
        <v>57</v>
      </c>
      <c r="B59" s="28" t="s">
        <v>250</v>
      </c>
      <c r="C59" s="28" t="s">
        <v>253</v>
      </c>
      <c r="D59" s="28" t="s">
        <v>254</v>
      </c>
      <c r="E59" t="e" cm="1">
        <f t="array" aca="1" ref="E59" ca="1">_xlfn._xlws.PY(5,1,D59)</f>
        <v>#NAME?</v>
      </c>
      <c r="F59" t="s">
        <v>369</v>
      </c>
      <c r="G59" t="s">
        <v>197</v>
      </c>
      <c r="H59" s="14" t="s">
        <v>161</v>
      </c>
      <c r="I59" t="str">
        <f t="shared" si="0"/>
        <v>(2026, '2026-01-02', 'Саратовская область', e'Широко-Карамышский',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B1 - 0,092 млн.т;
газ (извл.):
A - 0,468 млрд. м3;
B1 - 0,612 млрд. м3', '{"oil": {"B1": [0.092, "млнт"]}, "gas": {"A": [0.468, "млрд м3"], "B1": [0.612, "млрд м3"]}}'),</v>
      </c>
    </row>
    <row r="60" spans="1:9" ht="38.25">
      <c r="A60" s="28">
        <v>58</v>
      </c>
      <c r="B60" s="28" t="s">
        <v>250</v>
      </c>
      <c r="C60" s="28" t="s">
        <v>255</v>
      </c>
      <c r="D60" s="28" t="s">
        <v>256</v>
      </c>
      <c r="E60" t="e" cm="1">
        <f t="array" aca="1" ref="E60" ca="1">_xlfn._xlws.PY(5,1,D60)</f>
        <v>#NAME?</v>
      </c>
      <c r="F60" t="s">
        <v>370</v>
      </c>
      <c r="G60" t="s">
        <v>197</v>
      </c>
      <c r="H60" s="14" t="s">
        <v>161</v>
      </c>
      <c r="I60" t="str">
        <f t="shared" si="0"/>
        <v>(2026, '2026-01-02', 'Саратовская область', e'Смирновский',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(извл.):
C1 - 0,306 млрд. м3;
C2 - 0,682 млрд. м3', '{"gas": {"C1": [0.306, "млрд м3"], "C2": [0.682, "млрд м3"]}}'),</v>
      </c>
    </row>
    <row r="61" spans="1:9" ht="51">
      <c r="A61" s="28">
        <v>59</v>
      </c>
      <c r="B61" s="28" t="s">
        <v>250</v>
      </c>
      <c r="C61" s="28" t="s">
        <v>257</v>
      </c>
      <c r="D61" s="28" t="s">
        <v>258</v>
      </c>
      <c r="E61" t="e" cm="1">
        <f t="array" aca="1" ref="E61" ca="1">_xlfn._xlws.PY(5,1,D61)</f>
        <v>#NAME?</v>
      </c>
      <c r="F61" t="s">
        <v>371</v>
      </c>
      <c r="G61" t="s">
        <v>197</v>
      </c>
      <c r="H61" s="14" t="s">
        <v>161</v>
      </c>
      <c r="I61" t="str">
        <f t="shared" si="0"/>
        <v>(2026, '2026-01-02', 'Саратовская область', e'Аряшский',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C1 - 0,025 млн.т;
газ (извл.):
C1 - 0,028 млрд. м3', '{"oil": {"C1": [0.025, "млнт"]}, "gas": {"C1": [0.028, "млрд м3"]}}'),</v>
      </c>
    </row>
    <row r="62" spans="1:9" ht="102">
      <c r="A62" s="28">
        <v>60</v>
      </c>
      <c r="B62" s="28" t="s">
        <v>103</v>
      </c>
      <c r="C62" s="28" t="s">
        <v>104</v>
      </c>
      <c r="D62" s="28" t="s">
        <v>105</v>
      </c>
      <c r="E62" t="e" cm="1">
        <f t="array" aca="1" ref="E62" ca="1">_xlfn._xlws.PY(5,1,D62)</f>
        <v>#NAME?</v>
      </c>
      <c r="F62" t="s">
        <v>180</v>
      </c>
      <c r="G62" t="s">
        <v>197</v>
      </c>
      <c r="H62" s="14" t="s">
        <v>161</v>
      </c>
      <c r="I62" t="str">
        <f t="shared" si="0"/>
        <v>(2026, '2026-01-02', 'Тюменская область', e'Карабашский 5-1',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Dл - 415,154/101,784 млн т,
D1 - 80,741/18,545 млн т,
D2 - 21,24/5,435 млн т;
газ (геол./извл.):
Dл - 50,734/50,734 млрд м3,
D1 - 3,356/3,356 млрд м3,
D2 - 7,025/7,025 млрд м3', '{"oil": {"Dл": [415.154, "млн т"], "D1": [80.741, "млн т"], "D2": [21.24, "млн т"]}, "gas": {"Dл": [50.734, "млрд м3"], "D1": [3.356, "млрд м3"], "D2": [7.025, "млрд м3"]}}'),</v>
      </c>
    </row>
    <row r="63" spans="1:9" ht="89.25">
      <c r="A63" s="28">
        <v>61</v>
      </c>
      <c r="B63" s="28" t="s">
        <v>103</v>
      </c>
      <c r="C63" s="28" t="s">
        <v>106</v>
      </c>
      <c r="D63" s="28" t="s">
        <v>107</v>
      </c>
      <c r="E63" t="e" cm="1">
        <f t="array" aca="1" ref="E63" ca="1">_xlfn._xlws.PY(5,1,D63)</f>
        <v>#NAME?</v>
      </c>
      <c r="F63" t="s">
        <v>181</v>
      </c>
      <c r="G63" t="s">
        <v>197</v>
      </c>
      <c r="H63" s="14" t="s">
        <v>161</v>
      </c>
      <c r="I63" t="str">
        <f t="shared" si="0"/>
        <v>(2026, '2026-01-02', 'Тюменская область', e'Карабашский 7-2',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Dл - 227,723/53,993 млн т,
D1 - 56,421/13,606 млн т,
D2 - 52,753/13,646 млн т;
газ (геол./извл.):
D1 - 1,373/1,373 млрд м3,
D2 - 2,651/2,651 млрд м3', '{"oil": {"Dл": [227.723, "млн т"], "D1": [56.421, "млн т"], "D2": [52.753, "млн т"]}, "gas": {"D1": [1.373, "млрд м3"], "D2": [2.651, "млрд м3"]}}'),</v>
      </c>
    </row>
    <row r="64" spans="1:9" ht="127.5">
      <c r="A64" s="28">
        <v>62</v>
      </c>
      <c r="B64" s="28" t="s">
        <v>108</v>
      </c>
      <c r="C64" s="28" t="s">
        <v>109</v>
      </c>
      <c r="D64" s="28" t="s">
        <v>110</v>
      </c>
      <c r="E64" t="e" cm="1">
        <f t="array" aca="1" ref="E64" ca="1">_xlfn._xlws.PY(5,1,D64)</f>
        <v>#NAME?</v>
      </c>
      <c r="F64" t="s">
        <v>182</v>
      </c>
      <c r="G64" t="s">
        <v>197</v>
      </c>
      <c r="H64" s="14" t="s">
        <v>161</v>
      </c>
      <c r="I64" t="str">
        <f t="shared" si="0"/>
        <v>(2026, '2026-01-02', 'Ставропольский край', e'Южно-Серафимовский',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D1 - 0,058/0,011 млн т;
газ (геол./извл.):
D0 - 1,4 млрд м3
D1 - 0,009/0,009 млрд м3,
C1 - 0,425 млрд м3,
C2 - 0,149 млрд м3,
конденсат (извл.)
C1 - 0,027 млн т,
C2 - 0,011 млн т', '{"oil": {"D1": [0.058, "млн т"]}, "gas": {"D0": [1.4, "млрд м3"], "D1": [0.009, "млрд м3"], "C1": [0.425, "млрд м3"], "C2": [0.149, "млрд м3"]}, "cond": {"C1": [0.027, "млн т"], "C2": [0.011, "млн т"]}}'),</v>
      </c>
    </row>
    <row r="65" spans="1:9" ht="25.5">
      <c r="A65" s="28">
        <v>63</v>
      </c>
      <c r="B65" s="28" t="s">
        <v>108</v>
      </c>
      <c r="C65" s="28" t="s">
        <v>111</v>
      </c>
      <c r="D65" s="28" t="s">
        <v>112</v>
      </c>
      <c r="E65" t="e" cm="1">
        <f t="array" aca="1" ref="E65" ca="1">_xlfn._xlws.PY(5,1,D65)</f>
        <v>#NAME?</v>
      </c>
      <c r="F65" t="s">
        <v>183</v>
      </c>
      <c r="G65" t="s">
        <v>197</v>
      </c>
      <c r="H65" s="14" t="s">
        <v>161</v>
      </c>
      <c r="I65" t="str">
        <f t="shared" si="0"/>
        <v>(2026, '2026-01-02', 'Ставропольский край', e'Кучерлинский',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C1 - 1,0 млрд м3', '{"gas": {"C1": [1.0, "млрд м3"]}}'),</v>
      </c>
    </row>
    <row r="66" spans="1:9" ht="25.5">
      <c r="A66" s="28">
        <v>64</v>
      </c>
      <c r="B66" s="28" t="s">
        <v>108</v>
      </c>
      <c r="C66" s="28" t="s">
        <v>113</v>
      </c>
      <c r="D66" s="28" t="s">
        <v>114</v>
      </c>
      <c r="E66" t="e" cm="1">
        <f t="array" aca="1" ref="E66" ca="1">_xlfn._xlws.PY(5,1,D66)</f>
        <v>#NAME?</v>
      </c>
      <c r="F66" t="s">
        <v>184</v>
      </c>
      <c r="G66" t="s">
        <v>197</v>
      </c>
      <c r="H66" s="14" t="s">
        <v>161</v>
      </c>
      <c r="I66" t="str">
        <f t="shared" si="0"/>
        <v>(2026, '2026-01-02', 'Ставропольский край', e'Веселовский',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e'газ (извл.)
C1 - 0,563 млрд м3', '{"gas": {"C1": [0.563, "млрд м3"]}}'),</v>
      </c>
    </row>
    <row r="67" spans="1:9" ht="63.75">
      <c r="A67" s="28">
        <v>65</v>
      </c>
      <c r="B67" s="28" t="s">
        <v>115</v>
      </c>
      <c r="C67" s="28" t="s">
        <v>116</v>
      </c>
      <c r="D67" s="28" t="s">
        <v>117</v>
      </c>
      <c r="E67" t="e" cm="1">
        <f t="array" aca="1" ref="E67" ca="1">_xlfn._xlws.PY(5,1,D67)</f>
        <v>#NAME?</v>
      </c>
      <c r="F67" t="s">
        <v>185</v>
      </c>
      <c r="G67" t="s">
        <v>197</v>
      </c>
      <c r="H67" s="14" t="s">
        <v>161</v>
      </c>
      <c r="I67" t="str">
        <f t="shared" si="0"/>
        <v>(2026, '2026-01-02', 'Ставропольский край, Кабардино-Балкарская Республика', e'Моздокский',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Dл - 4,261/1,811 млн т
D1 - 11,981/5,632 млн т;
D1(Pg3chd+bt2) - 456,1/22,805
C1 - 1,158/0,579 млн т', '{"oil": {"Dл": [4.261, "млн т"], "D1": [11.981, "млн т"], "C1": [1.158, "млн т"]}}'),</v>
      </c>
    </row>
    <row r="68" spans="1:9" ht="38.25">
      <c r="A68" s="28">
        <v>66</v>
      </c>
      <c r="B68" s="28" t="s">
        <v>118</v>
      </c>
      <c r="C68" s="28" t="s">
        <v>119</v>
      </c>
      <c r="D68" s="28" t="s">
        <v>120</v>
      </c>
      <c r="E68" t="e" cm="1">
        <f t="array" aca="1" ref="E68" ca="1">_xlfn._xlws.PY(5,1,D68)</f>
        <v>#NAME?</v>
      </c>
      <c r="F68" t="s">
        <v>186</v>
      </c>
      <c r="G68" t="s">
        <v>197</v>
      </c>
      <c r="H68" s="14" t="s">
        <v>161</v>
      </c>
      <c r="I68" t="str">
        <f t="shared" si="0"/>
        <v>(2026, '2026-01-02', 'Удмуртская Республика', e'Чекеровский',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
B1 - 0,324/0,058 млн т
D1 - 3,15 млн т', '{"oil": {"B1": [0.324, "млн т"], "D1": [3.15, "млн т"]}}'),</v>
      </c>
    </row>
    <row r="69" spans="1:9" ht="25.5">
      <c r="A69" s="28">
        <v>67</v>
      </c>
      <c r="B69" s="28" t="s">
        <v>118</v>
      </c>
      <c r="C69" s="28" t="s">
        <v>121</v>
      </c>
      <c r="D69" s="28" t="s">
        <v>122</v>
      </c>
      <c r="E69" t="e" cm="1">
        <f t="array" aca="1" ref="E69" ca="1">_xlfn._xlws.PY(5,1,D69)</f>
        <v>#NAME?</v>
      </c>
      <c r="F69" t="s">
        <v>187</v>
      </c>
      <c r="G69" t="s">
        <v>197</v>
      </c>
      <c r="H69" s="14" t="s">
        <v>161</v>
      </c>
      <c r="I69" t="str">
        <f t="shared" ref="I69:I114" si="1">CONCATENATE("(2026, '2026-01-02', '", B69, "', e'", C69, "', '", G69, "', e'", H69, "', e'", D69, "', '", F69, "'),")</f>
        <v>(2026, '2026-01-02', 'Удмуртская Республика', e'Никольский участок',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D0 - 2,358 млн т', '{"oil": {"D0": [2.358, "млн т"]}}'),</v>
      </c>
    </row>
    <row r="70" spans="1:9" ht="38.25">
      <c r="A70" s="28">
        <v>68</v>
      </c>
      <c r="B70" s="28" t="s">
        <v>123</v>
      </c>
      <c r="C70" s="28" t="s">
        <v>259</v>
      </c>
      <c r="D70" s="28" t="s">
        <v>260</v>
      </c>
      <c r="E70" t="e" cm="1">
        <f t="array" aca="1" ref="E70" ca="1">_xlfn._xlws.PY(5,1,D70)</f>
        <v>#NAME?</v>
      </c>
      <c r="F70" t="s">
        <v>372</v>
      </c>
      <c r="G70" t="s">
        <v>197</v>
      </c>
      <c r="H70" s="14" t="s">
        <v>161</v>
      </c>
      <c r="I70" t="str">
        <f t="shared" si="1"/>
        <v>(2026, '2026-01-02', 'Ульяновская область', e'Старокулаткинский участок',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C1 - 0,531/0,133 млн.т
D0 - 0,964/0,241 млн.т', '{"oil": {"C1": [0.531, "млнт"], "D0": [0.964, "млнт"]}}'),</v>
      </c>
    </row>
    <row r="71" spans="1:9" ht="76.5">
      <c r="A71" s="28">
        <v>69</v>
      </c>
      <c r="B71" s="28" t="s">
        <v>124</v>
      </c>
      <c r="C71" s="28" t="s">
        <v>261</v>
      </c>
      <c r="D71" s="28" t="s">
        <v>262</v>
      </c>
      <c r="E71" t="e" cm="1">
        <f t="array" aca="1" ref="E71" ca="1">_xlfn._xlws.PY(5,1,D71)</f>
        <v>#NAME?</v>
      </c>
      <c r="F71" t="s">
        <v>373</v>
      </c>
      <c r="G71" t="s">
        <v>197</v>
      </c>
      <c r="H71" s="14" t="s">
        <v>161</v>
      </c>
      <c r="I71" t="str">
        <f t="shared" si="1"/>
        <v>(2026, '2026-01-02', 'Ханты-Мансийский автономный округ-Югра', e'Тарховский',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A - 0,856/0,056 млн.т
B1 - 1,056/0,257 млн.т
D0 - 0,380/0,091 млн.т
D1 - 2,704/0,891 млн.т
D2 - 13,471/2,021 млн.т', '{"oil": {"A": [0.856, "млнт"], "B1": [1.056, "млнт"], "D0": [0.38, "млнт"], "D1": [2.704, "млнт"], "D2": [13.471, "млнт"]}}'),</v>
      </c>
    </row>
    <row r="72" spans="1:9" ht="63.75">
      <c r="A72" s="28">
        <v>70</v>
      </c>
      <c r="B72" s="28" t="s">
        <v>124</v>
      </c>
      <c r="C72" s="28" t="s">
        <v>263</v>
      </c>
      <c r="D72" s="28" t="s">
        <v>264</v>
      </c>
      <c r="E72" t="e" cm="1">
        <f t="array" aca="1" ref="E72" ca="1">_xlfn._xlws.PY(5,1,D72)</f>
        <v>#NAME?</v>
      </c>
      <c r="F72" t="s">
        <v>374</v>
      </c>
      <c r="G72" t="s">
        <v>197</v>
      </c>
      <c r="H72" s="14" t="s">
        <v>161</v>
      </c>
      <c r="I72" t="str">
        <f t="shared" si="1"/>
        <v>(2026, '2026-01-02', 'Ханты-Мансийский автономный округ-Югра', e'Турьяхский',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D0 - 5,802 млн.т
Dл - 2,032 млн.т
D1 - 3,283 млн.т
D2 - 3,973 млн.т', '{"oil": {"D0": [5.802, "млнт"], "Dл": [2.032, "млнт"], "D1": [3.283, "млнт"], "D2": [3.973, "млнт"]}}'),</v>
      </c>
    </row>
    <row r="73" spans="1:9" ht="63.75">
      <c r="A73" s="28">
        <v>71</v>
      </c>
      <c r="B73" s="28" t="s">
        <v>124</v>
      </c>
      <c r="C73" s="28" t="s">
        <v>265</v>
      </c>
      <c r="D73" s="28" t="s">
        <v>266</v>
      </c>
      <c r="E73" t="e" cm="1">
        <f t="array" aca="1" ref="E73" ca="1">_xlfn._xlws.PY(6,1,D73)</f>
        <v>#NAME?</v>
      </c>
      <c r="F73" t="s">
        <v>375</v>
      </c>
      <c r="G73" t="s">
        <v>197</v>
      </c>
      <c r="H73" s="14" t="s">
        <v>161</v>
      </c>
      <c r="I73" t="str">
        <f t="shared" si="1"/>
        <v>(2026, '2026-01-02', 'Ханты-Мансийский автономный округ-Югра', e'Южно-Чистинный 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D0 - 5,835 млн.т
Dл - 1,291 млн.т
D1 - 7,461 млн.т
D2 - 2,947 млн.т', '{"oil": {"D0": [5.835, "млнт"], "Dл": [1.291, "млнт"], "D1": [7.461, "млнт"], "D2": [2.947, "млнт"]}}'),</v>
      </c>
    </row>
    <row r="74" spans="1:9" ht="63.75">
      <c r="A74" s="28">
        <v>72</v>
      </c>
      <c r="B74" s="28" t="s">
        <v>124</v>
      </c>
      <c r="C74" s="28" t="s">
        <v>267</v>
      </c>
      <c r="D74" s="28" t="s">
        <v>268</v>
      </c>
      <c r="E74" t="e" cm="1">
        <f t="array" aca="1" ref="E74" ca="1">_xlfn._xlws.PY(6,1,D74)</f>
        <v>#NAME?</v>
      </c>
      <c r="F74" t="s">
        <v>376</v>
      </c>
      <c r="G74" t="s">
        <v>197</v>
      </c>
      <c r="H74" s="14" t="s">
        <v>161</v>
      </c>
      <c r="I74" t="str">
        <f t="shared" si="1"/>
        <v>(2026, '2026-01-02', 'Ханты-Мансийский автономный округ-Югра', e'Южно-Чистинный 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D0 - 13,933 млн.т
Dл - 6,826 млн.т
D1 - 6,597 млн.т
D2 - 1,622 млн.т', '{"oil": {"D0": [13.933, "млнт"], "Dл": [6.826, "млнт"], "D1": [6.597, "млнт"], "D2": [1.622, "млнт"]}}'),</v>
      </c>
    </row>
    <row r="75" spans="1:9" ht="63.75">
      <c r="A75" s="28">
        <v>73</v>
      </c>
      <c r="B75" s="28" t="s">
        <v>124</v>
      </c>
      <c r="C75" s="28" t="s">
        <v>269</v>
      </c>
      <c r="D75" s="28" t="s">
        <v>270</v>
      </c>
      <c r="E75" t="e" cm="1">
        <f t="array" aca="1" ref="E75" ca="1">_xlfn._xlws.PY(6,1,D75)</f>
        <v>#NAME?</v>
      </c>
      <c r="F75" t="s">
        <v>377</v>
      </c>
      <c r="G75" t="s">
        <v>197</v>
      </c>
      <c r="H75" s="14" t="s">
        <v>161</v>
      </c>
      <c r="I75" t="str">
        <f t="shared" si="1"/>
        <v>(2026, '2026-01-02', 'Ханты-Мансийский автономный округ-Югра', e'Южно-Чистинный 3',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D0 - 6,482 млн.т
Dл - 1,438 млн.т
D1 - 4,266 млн.т
D2 - 1,774 млн.т', '{"oil": {"D0": [6.482, "млнт"], "Dл": [1.438, "млнт"], "D1": [4.266, "млнт"], "D2": [1.774, "млнт"]}}'),</v>
      </c>
    </row>
    <row r="76" spans="1:9" ht="63.75">
      <c r="A76" s="28">
        <v>74</v>
      </c>
      <c r="B76" s="28" t="s">
        <v>124</v>
      </c>
      <c r="C76" s="28" t="s">
        <v>271</v>
      </c>
      <c r="D76" s="28" t="s">
        <v>272</v>
      </c>
      <c r="E76" t="e" cm="1">
        <f t="array" aca="1" ref="E76" ca="1">_xlfn._xlws.PY(6,1,D76)</f>
        <v>#NAME?</v>
      </c>
      <c r="F76" t="s">
        <v>378</v>
      </c>
      <c r="G76" t="s">
        <v>197</v>
      </c>
      <c r="H76" s="14" t="s">
        <v>161</v>
      </c>
      <c r="I76" t="str">
        <f t="shared" si="1"/>
        <v>(2026, '2026-01-02', 'Ханты-Мансийский автономный округ-Югра', e'Юильский 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D1 - 4,0 млн.т
D2 - 1,3 млн.т
газ (извл.):
D2 - 1,3 млрд.м3', '{"oil": {"D1": [4.0, "млнт"], "D2": [1.3, "млнт"]}, "gas": {"D2": [1.3, "млрдм3"]}}'),</v>
      </c>
    </row>
    <row r="77" spans="1:9" ht="51">
      <c r="A77" s="28">
        <v>75</v>
      </c>
      <c r="B77" s="28" t="s">
        <v>124</v>
      </c>
      <c r="C77" s="28" t="s">
        <v>273</v>
      </c>
      <c r="D77" s="28" t="s">
        <v>274</v>
      </c>
      <c r="E77" t="e" cm="1">
        <f t="array" aca="1" ref="E77" ca="1">_xlfn._xlws.PY(6,1,D77)</f>
        <v>#NAME?</v>
      </c>
      <c r="F77" t="s">
        <v>379</v>
      </c>
      <c r="G77" t="s">
        <v>197</v>
      </c>
      <c r="H77" s="14" t="s">
        <v>161</v>
      </c>
      <c r="I77" t="str">
        <f t="shared" si="1"/>
        <v>(2026, '2026-01-02', 'Ханты-Мансийский автономный округ-Югра', e'Млечный',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(геол./извл.):
A - 0,464/0,133 млн.т
B1 - 0,556/0,194 млн.т
B2 - 2,784/0,852 млн.т', '{"oil": {"A": [0.464, "млнт"], "B1": [0.556, "млнт"], "B2": [2.784, "млнт"]}}'),</v>
      </c>
    </row>
    <row r="78" spans="1:9" ht="38.25">
      <c r="A78" s="28">
        <v>76</v>
      </c>
      <c r="B78" s="28" t="s">
        <v>124</v>
      </c>
      <c r="C78" s="28" t="s">
        <v>275</v>
      </c>
      <c r="D78" s="28" t="s">
        <v>276</v>
      </c>
      <c r="E78" t="e" cm="1">
        <f t="array" aca="1" ref="E78" ca="1">_xlfn._xlws.PY(6,1,D78)</f>
        <v>#NAME?</v>
      </c>
      <c r="F78" t="s">
        <v>380</v>
      </c>
      <c r="G78" t="s">
        <v>197</v>
      </c>
      <c r="H78" s="14" t="s">
        <v>161</v>
      </c>
      <c r="I78" t="str">
        <f t="shared" si="1"/>
        <v>(2026, '2026-01-02', 'Ханты-Мансийский автономный округ-Югра', e'Северо-Салымский - 3',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D1 - 0,433 млн.т
D2 - 0,168 млн.т', '{"oil": {"D1": [0.433, "млнт"], "D2": [0.168, "млнт"]}}'),</v>
      </c>
    </row>
    <row r="79" spans="1:9" ht="38.25">
      <c r="A79" s="28">
        <v>77</v>
      </c>
      <c r="B79" s="28" t="s">
        <v>124</v>
      </c>
      <c r="C79" s="28" t="s">
        <v>277</v>
      </c>
      <c r="D79" s="28" t="s">
        <v>278</v>
      </c>
      <c r="E79" t="e" cm="1">
        <f t="array" aca="1" ref="E79" ca="1">_xlfn._xlws.PY(6,1,D79)</f>
        <v>#NAME?</v>
      </c>
      <c r="F79" t="s">
        <v>381</v>
      </c>
      <c r="G79" t="s">
        <v>197</v>
      </c>
      <c r="H79" s="14" t="s">
        <v>161</v>
      </c>
      <c r="I79" t="str">
        <f t="shared" si="1"/>
        <v>(2026, '2026-01-02', 'Ханты-Мансийский автономный округ-Югра', e'Приразломный-3',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Д1 - 4,267 млн.т
Д2 - 1,658 млн.т', '{"oil": {"D1": [4.267, "млнт"], "D2": [1.658, "млнт"]}}'),</v>
      </c>
    </row>
    <row r="80" spans="1:9" ht="89.25">
      <c r="A80" s="28">
        <v>78</v>
      </c>
      <c r="B80" s="28" t="s">
        <v>124</v>
      </c>
      <c r="C80" s="28" t="s">
        <v>279</v>
      </c>
      <c r="D80" s="28" t="s">
        <v>280</v>
      </c>
      <c r="E80" t="e" cm="1">
        <f t="array" aca="1" ref="E80" ca="1">_xlfn._xlws.PY(6,1,D80)</f>
        <v>#NAME?</v>
      </c>
      <c r="F80" t="s">
        <v>382</v>
      </c>
      <c r="G80" t="s">
        <v>197</v>
      </c>
      <c r="H80" s="14" t="s">
        <v>161</v>
      </c>
      <c r="I80" t="str">
        <f t="shared" si="1"/>
        <v>(2026, '2026-01-02', 'Ханты-Мансийский автономный округ-Югра', e'Восточно-Айгульский',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Д0 - 1,717 млн.т
Д1 - 13,4 млн.т
Д2 - 0,7 млн.т
газ
Д1 - 2,9 млрд.м3
Д2 - 2,7 млрд.м3', '{"oil": {"D0": [1.717, "млнт"], "D1": [13.4, "млнт"], "D2": [0.7, "млнт"]}, "gas": {"D1": [2.9, "млрдм3"], "D2": [2.7, "млрдм3"]}}'),</v>
      </c>
    </row>
    <row r="81" spans="1:9" ht="38.25">
      <c r="A81" s="28">
        <v>79</v>
      </c>
      <c r="B81" s="28" t="s">
        <v>124</v>
      </c>
      <c r="C81" s="28" t="s">
        <v>281</v>
      </c>
      <c r="D81" s="28" t="s">
        <v>282</v>
      </c>
      <c r="E81" t="e" cm="1">
        <f t="array" aca="1" ref="E81" ca="1">_xlfn._xlws.PY(6,1,D81)</f>
        <v>#NAME?</v>
      </c>
      <c r="F81" t="s">
        <v>383</v>
      </c>
      <c r="G81" t="s">
        <v>197</v>
      </c>
      <c r="H81" s="14" t="s">
        <v>161</v>
      </c>
      <c r="I81" t="str">
        <f t="shared" si="1"/>
        <v>(2026, '2026-01-02', 'Ханты-Мансийский автономный округ-Югра', e'Восточно-Высотный',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Д1 - 5,4 млн.т
Д2 - 0,1 млн.т', '{"oil": {"D1": [5.4, "млнт"], "D2": [0.1, "млнт"]}}'),</v>
      </c>
    </row>
    <row r="82" spans="1:9" ht="63.75">
      <c r="A82" s="28">
        <v>80</v>
      </c>
      <c r="B82" s="28" t="s">
        <v>124</v>
      </c>
      <c r="C82" s="28" t="s">
        <v>283</v>
      </c>
      <c r="D82" s="28" t="s">
        <v>284</v>
      </c>
      <c r="E82" t="e" cm="1">
        <f t="array" aca="1" ref="E82" ca="1">_xlfn._xlws.PY(6,1,D82)</f>
        <v>#NAME?</v>
      </c>
      <c r="F82" t="s">
        <v>384</v>
      </c>
      <c r="G82" t="s">
        <v>197</v>
      </c>
      <c r="H82" s="14" t="s">
        <v>161</v>
      </c>
      <c r="I82" t="str">
        <f t="shared" si="1"/>
        <v>(2026, '2026-01-02', 'Ханты-Мансийский автономный округ-Югра', e'Восточно-Заозерный',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Д1 - 4,2 млн.т
Д2 - 0,4 млн.т
газ
Д2 - 0,3 млрд.м3', '{"oil": {"D1": [4.2, "млнт"], "D2": [0.4, "млнт"]}, "gas": {"D2": [0.3, "млрдм3"]}}'),</v>
      </c>
    </row>
    <row r="83" spans="1:9" ht="89.25">
      <c r="A83" s="28">
        <v>81</v>
      </c>
      <c r="B83" s="28" t="s">
        <v>124</v>
      </c>
      <c r="C83" s="28" t="s">
        <v>285</v>
      </c>
      <c r="D83" s="28" t="s">
        <v>286</v>
      </c>
      <c r="E83" t="e" cm="1">
        <f t="array" aca="1" ref="E83" ca="1">_xlfn._xlws.PY(6,1,D83)</f>
        <v>#NAME?</v>
      </c>
      <c r="F83" t="s">
        <v>385</v>
      </c>
      <c r="G83" t="s">
        <v>197</v>
      </c>
      <c r="H83" s="14" t="s">
        <v>161</v>
      </c>
      <c r="I83" t="str">
        <f t="shared" si="1"/>
        <v>(2026, '2026-01-02', 'Ханты-Мансийский автономный округ-Югра', e'Западно-Токушинский',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Д1 - 0,3 млн.т
Д1 - 0,1 млн.т
Д2 - 0,8 млн.т
газ (извл.)
Д1 - 5,1 млрд.м3
Д2 - 0,6 млрд.м3', '{"oil": {"D1": [0.1, "млнт"], "D2": [0.8, "млнт"]}, "gas": {"D1": [5.1, "млрдм3"], "D2": [0.6, "млрдм3"]}}'),</v>
      </c>
    </row>
    <row r="84" spans="1:9" ht="51">
      <c r="A84" s="28">
        <v>82</v>
      </c>
      <c r="B84" s="28" t="s">
        <v>124</v>
      </c>
      <c r="C84" s="28" t="s">
        <v>287</v>
      </c>
      <c r="D84" s="28" t="s">
        <v>288</v>
      </c>
      <c r="E84" t="e" cm="1">
        <f t="array" aca="1" ref="E84" ca="1">_xlfn._xlws.PY(6,1,D84)</f>
        <v>#NAME?</v>
      </c>
      <c r="F84" t="s">
        <v>386</v>
      </c>
      <c r="G84" t="s">
        <v>197</v>
      </c>
      <c r="H84" s="14" t="s">
        <v>161</v>
      </c>
      <c r="I84" t="str">
        <f t="shared" si="1"/>
        <v>(2026, '2026-01-02', 'Ханты-Мансийский автономный округ-Югра', e'Восточно-Толумский',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C1 - 0,156 млн.т
C2 - 0,814 млн.т
D0 - 0,919 млн.т', '{"oil": {"C1": [0.156, "млнт"], "C2": [0.814, "млнт"], "D0": [0.919, "млнт"]}}'),</v>
      </c>
    </row>
    <row r="85" spans="1:9" ht="51">
      <c r="A85" s="28">
        <v>83</v>
      </c>
      <c r="B85" s="28" t="s">
        <v>124</v>
      </c>
      <c r="C85" s="28" t="s">
        <v>289</v>
      </c>
      <c r="D85" s="28" t="s">
        <v>290</v>
      </c>
      <c r="E85" t="e" cm="1">
        <f t="array" aca="1" ref="E85" ca="1">_xlfn._xlws.PY(6,1,D85)</f>
        <v>#NAME?</v>
      </c>
      <c r="F85" t="s">
        <v>387</v>
      </c>
      <c r="G85" t="s">
        <v>197</v>
      </c>
      <c r="H85" s="14" t="s">
        <v>161</v>
      </c>
      <c r="I85" t="str">
        <f t="shared" si="1"/>
        <v>(2026, '2026-01-02', 'Ханты-Мансийский автономный округ-Югра', e'Восточно-Саранпаульский',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Д1 - 0,74 млн.т
газ
Д2 - 2,05 млрд.м3', '{"oil": {"D1": [0.74, "млнт"]}, "gas": {"D2": [2.05, "млрдм3"]}}'),</v>
      </c>
    </row>
    <row r="86" spans="1:9" ht="127.5">
      <c r="A86" s="28">
        <v>84</v>
      </c>
      <c r="B86" s="28" t="s">
        <v>124</v>
      </c>
      <c r="C86" s="28" t="s">
        <v>291</v>
      </c>
      <c r="D86" s="28" t="s">
        <v>292</v>
      </c>
      <c r="E86" t="e" cm="1">
        <f t="array" aca="1" ref="E86" ca="1">_xlfn._xlws.PY(6,1,D86)</f>
        <v>#NAME?</v>
      </c>
      <c r="F86" t="s">
        <v>388</v>
      </c>
      <c r="G86" t="s">
        <v>197</v>
      </c>
      <c r="H86" s="14" t="s">
        <v>161</v>
      </c>
      <c r="I86" t="str">
        <f t="shared" si="1"/>
        <v>(2026, '2026-01-02', 'Ханты-Мансийский автономный округ-Югра', e'Казымский',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Д0 - 14,006 млн.т
Д1 - 2,484 млн.т
Д2 - 17,255 млн.т
газ
Д1 - 0,783 млрд.м3
Д2 - 0,753 млрд.м3
конденсат (извл.)
Д1 - 0,023 млн.т
Д2 - 0,210 млн.т', '{"oil": {"D0": [14.006, "млнт"], "D1": [2.484, "млнт"], "D2": [17.255, "млнт"]}, "gas": {"D1": [0.783, "млрдм3"], "D2": [0.753, "млрдм3"]}, "cond": {"D1": [0.023, "млнт"], "D2": [0.21, "млнт"]}}'),</v>
      </c>
    </row>
    <row r="87" spans="1:9" ht="76.5">
      <c r="A87" s="28">
        <v>85</v>
      </c>
      <c r="B87" s="28" t="s">
        <v>124</v>
      </c>
      <c r="C87" s="28" t="s">
        <v>125</v>
      </c>
      <c r="D87" s="28" t="s">
        <v>126</v>
      </c>
      <c r="E87" t="e" cm="1">
        <f t="array" aca="1" ref="E87" ca="1">_xlfn._xlws.PY(6,1,D87)</f>
        <v>#NAME?</v>
      </c>
      <c r="F87" t="s">
        <v>389</v>
      </c>
      <c r="G87" t="s">
        <v>197</v>
      </c>
      <c r="H87" s="14" t="s">
        <v>161</v>
      </c>
      <c r="I87" t="str">
        <f t="shared" si="1"/>
        <v>(2026, '2026-01-02', 'Ханты-Мансийский автономный округ-Югра', e'Карымский',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Д1 - 1,2 млн.т.
Д2 - 0,3 млн.т.
газ
Д1 - 0,2 млрд.м3
Д2 - 0,4 млрд.м3', '{"oil": {"D1": [1.2, "млнт"], "D2": [0.3, "млнт"]}, "gas": {"D1": [0.2, "млрдм3"], "D2": [0.4, "млрдм3"]}}'),</v>
      </c>
    </row>
    <row r="88" spans="1:9" ht="76.5">
      <c r="A88" s="28">
        <v>86</v>
      </c>
      <c r="B88" s="28" t="s">
        <v>124</v>
      </c>
      <c r="C88" s="28" t="s">
        <v>127</v>
      </c>
      <c r="D88" s="28" t="s">
        <v>128</v>
      </c>
      <c r="E88" t="e" cm="1">
        <f t="array" aca="1" ref="E88" ca="1">_xlfn._xlws.PY(6,1,D88)</f>
        <v>#NAME?</v>
      </c>
      <c r="F88" t="s">
        <v>390</v>
      </c>
      <c r="G88" t="s">
        <v>197</v>
      </c>
      <c r="H88" s="14" t="s">
        <v>161</v>
      </c>
      <c r="I88" t="str">
        <f t="shared" si="1"/>
        <v>(2026, '2026-01-02', 'Ханты-Мансийский автономный округ-Югра', e'Кулингурский',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(извл)
Д1 - 11,0 млн.т.
Д2 - 0,8 млн.т.
газ
Д1 - 1,3 млрд.м3
Д2 - 1,0 млрд.м3', '{"oil": {"D1": [11.0, "млнт"], "D2": [0.8, "млнт"]}, "gas": {"D1": [1.3, "млрдм3"], "D2": [1.0, "млрдм3"]}}'),</v>
      </c>
    </row>
    <row r="89" spans="1:9" ht="38.25">
      <c r="A89" s="28">
        <v>87</v>
      </c>
      <c r="B89" s="28" t="s">
        <v>124</v>
      </c>
      <c r="C89" s="28" t="s">
        <v>129</v>
      </c>
      <c r="D89" s="28" t="s">
        <v>130</v>
      </c>
      <c r="E89" t="e" cm="1">
        <f t="array" aca="1" ref="E89" ca="1">_xlfn._xlws.PY(6,1,D89)</f>
        <v>#NAME?</v>
      </c>
      <c r="F89" t="s">
        <v>391</v>
      </c>
      <c r="G89" t="s">
        <v>197</v>
      </c>
      <c r="H89" s="14" t="s">
        <v>161</v>
      </c>
      <c r="I89" t="str">
        <f t="shared" si="1"/>
        <v>(2026, '2026-01-02', 'Ханты-Мансийский автономный округ-Югра', e'Ляминский 20',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(извл)
Д1 - 14,0 млн.т
Д2 - 2,7 млн. т', '{"oil": {"D1": [14.0, "млнт"], "D2": [2.7, "млн т"]}}'),</v>
      </c>
    </row>
    <row r="90" spans="1:9" ht="76.5">
      <c r="A90" s="28">
        <v>88</v>
      </c>
      <c r="B90" s="28" t="s">
        <v>124</v>
      </c>
      <c r="C90" s="28" t="s">
        <v>131</v>
      </c>
      <c r="D90" s="28" t="s">
        <v>132</v>
      </c>
      <c r="E90" t="e" cm="1">
        <f t="array" aca="1" ref="E90" ca="1">_xlfn._xlws.PY(6,1,D90)</f>
        <v>#NAME?</v>
      </c>
      <c r="F90" t="s">
        <v>392</v>
      </c>
      <c r="G90" t="s">
        <v>197</v>
      </c>
      <c r="H90" s="14" t="s">
        <v>161</v>
      </c>
      <c r="I90" t="str">
        <f t="shared" si="1"/>
        <v>(2026, '2026-01-02', 'Ханты-Мансийский автономный округ-Югра', e'Малобыстринский',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(извл)
Д1 - 11,5 млн.т
Д2 - 0,5 млн.т
газ
Д1 - 4,2 млрд.м3
Д2 - 1,3 млрд.м3', '{"oil": {"D1": [11.5, "млнт"], "D2": [0.5, "млнт"]}, "gas": {"D1": [4.2, "млрдм3"], "D2": [1.3, "млрдм3"]}}'),</v>
      </c>
    </row>
    <row r="91" spans="1:9" ht="51">
      <c r="A91" s="28">
        <v>89</v>
      </c>
      <c r="B91" s="28" t="s">
        <v>124</v>
      </c>
      <c r="C91" s="28" t="s">
        <v>133</v>
      </c>
      <c r="D91" s="28" t="s">
        <v>134</v>
      </c>
      <c r="E91" t="e" cm="1">
        <f t="array" aca="1" ref="E91" ca="1">_xlfn._xlws.PY(6,1,D91)</f>
        <v>#NAME?</v>
      </c>
      <c r="F91" t="s">
        <v>393</v>
      </c>
      <c r="G91" t="s">
        <v>197</v>
      </c>
      <c r="H91" s="14" t="s">
        <v>161</v>
      </c>
      <c r="I91" t="str">
        <f t="shared" si="1"/>
        <v>(2026, '2026-01-02', 'Ханты-Мансийский автономный округ-Югра', e'Малорогожниковский',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Дп - 2,1 млн.т
Д1 - 2,1 млн.т
Д2 - 0,1 млн.т', '{"oil": {"D1": [2.1, "млнт"], "D2": [0.1, "млнт"]}}'),</v>
      </c>
    </row>
    <row r="92" spans="1:9" ht="76.5">
      <c r="A92" s="28">
        <v>90</v>
      </c>
      <c r="B92" s="28" t="s">
        <v>124</v>
      </c>
      <c r="C92" s="28" t="s">
        <v>135</v>
      </c>
      <c r="D92" s="28" t="s">
        <v>136</v>
      </c>
      <c r="E92" t="e" cm="1">
        <f t="array" aca="1" ref="E92" ca="1">_xlfn._xlws.PY(6,1,D92)</f>
        <v>#NAME?</v>
      </c>
      <c r="F92" t="s">
        <v>394</v>
      </c>
      <c r="G92" t="s">
        <v>197</v>
      </c>
      <c r="H92" s="14" t="s">
        <v>161</v>
      </c>
      <c r="I92" t="str">
        <f t="shared" si="1"/>
        <v>(2026, '2026-01-02', 'Ханты-Мансийский автономный округ-Югра', e'Моимский 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Д1 - 13,5 млн.т.
Д2 - 0,5 млн.т.
газ (извл.):
Д1 - 0,4 млрд. м3.
Д2 - 0,9 млрд. м3.', '{"oil": {"D1": [13.5, "млнт"], "D2": [0.5, "млнт"]}, "gas": {"D1": [0.4, "млрд м3"], "D2": [0.9, "млрд м3"]}}'),</v>
      </c>
    </row>
    <row r="93" spans="1:9" ht="76.5">
      <c r="A93" s="28">
        <v>91</v>
      </c>
      <c r="B93" s="28" t="s">
        <v>124</v>
      </c>
      <c r="C93" s="28" t="s">
        <v>137</v>
      </c>
      <c r="D93" s="28" t="s">
        <v>138</v>
      </c>
      <c r="E93" t="e" cm="1">
        <f t="array" aca="1" ref="E93" ca="1">_xlfn._xlws.PY(6,1,D93)</f>
        <v>#NAME?</v>
      </c>
      <c r="F93" t="s">
        <v>395</v>
      </c>
      <c r="G93" t="s">
        <v>197</v>
      </c>
      <c r="H93" s="14" t="s">
        <v>161</v>
      </c>
      <c r="I93" t="str">
        <f t="shared" si="1"/>
        <v>(2026, '2026-01-02', 'Ханты-Мансийский автономный округ-Югра', e'Моимский 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Д1 - 11,5 млн.т.
Д2 - 0,5 млн.т.
газ (извл.):
Д1 - 0,3 млрд. м3.
Д2 - 0,8 млрд. м3.', '{"oil": {"D1": [11.5, "млнт"], "D2": [0.5, "млнт"]}, "gas": {"D1": [0.3, "млрд м3"], "D2": [0.8, "млрд м3"]}}'),</v>
      </c>
    </row>
    <row r="94" spans="1:9" ht="63.75">
      <c r="A94" s="28">
        <v>92</v>
      </c>
      <c r="B94" s="28" t="s">
        <v>124</v>
      </c>
      <c r="C94" s="28" t="s">
        <v>139</v>
      </c>
      <c r="D94" s="28" t="s">
        <v>140</v>
      </c>
      <c r="E94" t="e" cm="1">
        <f t="array" aca="1" ref="E94" ca="1">_xlfn._xlws.PY(6,1,D94)</f>
        <v>#NAME?</v>
      </c>
      <c r="F94" t="s">
        <v>396</v>
      </c>
      <c r="G94" t="s">
        <v>197</v>
      </c>
      <c r="H94" s="14" t="s">
        <v>161</v>
      </c>
      <c r="I94" t="str">
        <f t="shared" si="1"/>
        <v>(2026, '2026-01-02', 'Ханты-Мансийский автономный округ-Югра', e'Панлорский 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(извл)
Д1 - 8,2 млн.т
Д2 - 0,3 млн.т
газ
Д2 - 2,0 млрд.м3', '{"oil": {"D1": [8.2, "млнт"], "D2": [0.3, "млнт"]}, "gas": {"D2": [2.0, "млрдм3"]}}'),</v>
      </c>
    </row>
    <row r="95" spans="1:9" ht="76.5">
      <c r="A95" s="28">
        <v>93</v>
      </c>
      <c r="B95" s="28" t="s">
        <v>124</v>
      </c>
      <c r="C95" s="28" t="s">
        <v>141</v>
      </c>
      <c r="D95" s="28" t="s">
        <v>142</v>
      </c>
      <c r="E95" t="e" cm="1">
        <f t="array" aca="1" ref="E95" ca="1">_xlfn._xlws.PY(6,1,D95)</f>
        <v>#NAME?</v>
      </c>
      <c r="F95" t="s">
        <v>397</v>
      </c>
      <c r="G95" t="s">
        <v>197</v>
      </c>
      <c r="H95" s="14" t="s">
        <v>161</v>
      </c>
      <c r="I95" t="str">
        <f t="shared" si="1"/>
        <v>(2026, '2026-01-02', 'Ханты-Мансийский автономный округ-Югра', e'Похорский 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(извл)
Д1 - 5,0 млн.т.
Д2 - 0,8 млн.т.
газ
Д1 - 0,7 млрд. м3
Д2 - 1,4 млрд м3', '{"oil": {"D1": [5.0, "млнт"], "D2": [0.8, "млнт"]}, "gas": {"D1": [0.7, "млрд м3"], "D2": [1.4, "млрд м3"]}}'),</v>
      </c>
    </row>
    <row r="96" spans="1:9" ht="51">
      <c r="A96" s="28">
        <v>94</v>
      </c>
      <c r="B96" s="28" t="s">
        <v>124</v>
      </c>
      <c r="C96" s="28" t="s">
        <v>143</v>
      </c>
      <c r="D96" s="28" t="s">
        <v>144</v>
      </c>
      <c r="E96" t="e" cm="1">
        <f t="array" aca="1" ref="E96" ca="1">_xlfn._xlws.PY(6,1,D96)</f>
        <v>#NAME?</v>
      </c>
      <c r="F96" t="s">
        <v>188</v>
      </c>
      <c r="G96" t="s">
        <v>197</v>
      </c>
      <c r="H96" s="14" t="s">
        <v>161</v>
      </c>
      <c r="I96" t="str">
        <f t="shared" si="1"/>
        <v>(2026, '2026-01-02', 'Ханты-Мансийский автономный округ-Югра', e'Русотовый',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D0 - 4,125 млн т
Dп - 4,102 млн т
D1 - 1,5 млн т', '{"oil": {"D0": [4.125, "млн т"], "D1": [1.5, "млн т"]}}'),</v>
      </c>
    </row>
    <row r="97" spans="1:9" ht="38.25">
      <c r="A97" s="28">
        <v>95</v>
      </c>
      <c r="B97" s="28" t="s">
        <v>124</v>
      </c>
      <c r="C97" s="28" t="s">
        <v>145</v>
      </c>
      <c r="D97" s="28" t="s">
        <v>146</v>
      </c>
      <c r="E97" t="e" cm="1">
        <f t="array" aca="1" ref="E97" ca="1">_xlfn._xlws.PY(6,1,D97)</f>
        <v>#NAME?</v>
      </c>
      <c r="F97" t="s">
        <v>189</v>
      </c>
      <c r="G97" t="s">
        <v>197</v>
      </c>
      <c r="H97" s="14" t="s">
        <v>161</v>
      </c>
      <c r="I97" t="str">
        <f t="shared" si="1"/>
        <v>(2026, '2026-01-02', 'Ханты-Мансийский автономный округ-Югра', e'Северо-Ай-Тимский',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D1 - 18,0 млн т
D2 - 0,4 млн т', '{"oil": {"D1": [18.0, "млн т"], "D2": [0.4, "млн т"]}}'),</v>
      </c>
    </row>
    <row r="98" spans="1:9" ht="76.5">
      <c r="A98" s="28">
        <v>96</v>
      </c>
      <c r="B98" s="28" t="s">
        <v>124</v>
      </c>
      <c r="C98" s="28" t="s">
        <v>147</v>
      </c>
      <c r="D98" s="28" t="s">
        <v>148</v>
      </c>
      <c r="E98" t="e" cm="1">
        <f t="array" aca="1" ref="E98" ca="1">_xlfn._xlws.PY(6,1,D98)</f>
        <v>#NAME?</v>
      </c>
      <c r="F98" t="s">
        <v>190</v>
      </c>
      <c r="G98" t="s">
        <v>197</v>
      </c>
      <c r="H98" s="14" t="s">
        <v>161</v>
      </c>
      <c r="I98" t="str">
        <f t="shared" si="1"/>
        <v>(2026, '2026-01-02', 'Ханты-Мансийский автономный округ-Югра', e'Северо-Заозерный 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Dл - 0,031 млн т
D1 - 4,4 млн т
D2 - 0,5 млн т
газ
D2 - 0,3 млрд м3', '{"oil": {"Dл": [0.031, "млн т"], "D1": [4.4, "млн т"], "D2": [0.5, "млн т"]}, "gas": {"D2": [0.3, "млрд м3"]}}'),</v>
      </c>
    </row>
    <row r="99" spans="1:9" ht="63.75">
      <c r="A99" s="28">
        <v>97</v>
      </c>
      <c r="B99" s="28" t="s">
        <v>124</v>
      </c>
      <c r="C99" s="28" t="s">
        <v>149</v>
      </c>
      <c r="D99" s="28" t="s">
        <v>150</v>
      </c>
      <c r="E99" t="e" cm="1">
        <f t="array" aca="1" ref="E99" ca="1">_xlfn._xlws.PY(6,1,D99)</f>
        <v>#NAME?</v>
      </c>
      <c r="F99" t="s">
        <v>191</v>
      </c>
      <c r="G99" t="s">
        <v>197</v>
      </c>
      <c r="H99" s="14" t="s">
        <v>161</v>
      </c>
      <c r="I99" t="str">
        <f t="shared" si="1"/>
        <v>(2026, '2026-01-02', 'Ханты-Мансийский автономный округ-Югра', e'Северо-Заозерный 2',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D1 - 6,4 млн т
D2 - 0,6 млн т
газ
D2 - 0,4 млрд м3', '{"oil": {"D1": [6.4, "млн т"], "D2": [0.6, "млн т"]}, "gas": {"D2": [0.4, "млрд м3"]}}'),</v>
      </c>
    </row>
    <row r="100" spans="1:9" ht="38.25">
      <c r="A100" s="28">
        <v>98</v>
      </c>
      <c r="B100" s="28" t="s">
        <v>124</v>
      </c>
      <c r="C100" s="28" t="s">
        <v>151</v>
      </c>
      <c r="D100" s="28" t="s">
        <v>152</v>
      </c>
      <c r="E100" t="e" cm="1">
        <f t="array" aca="1" ref="E100" ca="1">_xlfn._xlws.PY(6,1,D100)</f>
        <v>#NAME?</v>
      </c>
      <c r="F100" t="s">
        <v>192</v>
      </c>
      <c r="G100" t="s">
        <v>197</v>
      </c>
      <c r="H100" s="14" t="s">
        <v>161</v>
      </c>
      <c r="I100" t="str">
        <f t="shared" si="1"/>
        <v>(2026, '2026-01-02', 'Ханты-Мансийский автономный округ-Югра', e'Северо-Яхлинский',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D1 - 2,2 млн т
D2 - 0,2 млн т', '{"oil": {"D1": [2.2, "млн т"], "D2": [0.2, "млн т"]}}'),</v>
      </c>
    </row>
    <row r="101" spans="1:9" ht="89.25">
      <c r="A101" s="28">
        <v>99</v>
      </c>
      <c r="B101" s="28" t="s">
        <v>124</v>
      </c>
      <c r="C101" s="28" t="s">
        <v>153</v>
      </c>
      <c r="D101" s="28" t="s">
        <v>154</v>
      </c>
      <c r="E101" t="e" cm="1">
        <f t="array" aca="1" ref="E101" ca="1">_xlfn._xlws.PY(6,1,D101)</f>
        <v>#NAME?</v>
      </c>
      <c r="F101" t="s">
        <v>193</v>
      </c>
      <c r="G101" t="s">
        <v>197</v>
      </c>
      <c r="H101" s="14" t="s">
        <v>161</v>
      </c>
      <c r="I101" t="str">
        <f t="shared" si="1"/>
        <v>(2026, '2026-01-02', 'Ханты-Мансийский автономный округ-Югра', e'Северо-Тунгольский',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Dл - 2,481 млн т
D1 - 10,6 млн т
D2 - 1,2 млн т
газ
D1 - 0,3 млрд м3
D2 - 0,3 млрд м3', '{"oil": {"Dл": [2.481, "млн т"], "D1": [10.6, "млн т"], "D2": [1.2, "млн т"]}, "gas": {"D1": [0.3, "млрд м3"], "D2": [0.3, "млрд м3"]}}'),</v>
      </c>
    </row>
    <row r="102" spans="1:9" ht="76.5">
      <c r="A102" s="28">
        <v>100</v>
      </c>
      <c r="B102" s="28" t="s">
        <v>124</v>
      </c>
      <c r="C102" s="28" t="s">
        <v>155</v>
      </c>
      <c r="D102" s="28" t="s">
        <v>156</v>
      </c>
      <c r="E102" t="e" cm="1">
        <f t="array" aca="1" ref="E102" ca="1">_xlfn._xlws.PY(6,1,D102)</f>
        <v>#NAME?</v>
      </c>
      <c r="F102" t="s">
        <v>194</v>
      </c>
      <c r="G102" t="s">
        <v>197</v>
      </c>
      <c r="H102" s="14" t="s">
        <v>161</v>
      </c>
      <c r="I102" t="str">
        <f t="shared" si="1"/>
        <v>(2026, '2026-01-02', 'Ханты-Мансийский автономный округ-Югра', e'Сергинский 17',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D1 - 15,5 млн т
D2 - 0,5 млн т
газ (извл.)
D1 - 0,5 млрд м3
D2 - 1,1 млрд м3', '{"oil": {"D1": [15.5, "млн т"], "D2": [0.5, "млн т"]}, "gas": {"D1": [0.5, "млрд м3"], "D2": [1.1, "млрд м3"]}}'),</v>
      </c>
    </row>
    <row r="103" spans="1:9" ht="76.5">
      <c r="A103" s="28">
        <v>101</v>
      </c>
      <c r="B103" s="28" t="s">
        <v>124</v>
      </c>
      <c r="C103" s="28" t="s">
        <v>157</v>
      </c>
      <c r="D103" s="28" t="s">
        <v>158</v>
      </c>
      <c r="E103" t="e" cm="1">
        <f t="array" aca="1" ref="E103" ca="1">_xlfn._xlws.PY(6,1,D103)</f>
        <v>#NAME?</v>
      </c>
      <c r="F103" t="s">
        <v>195</v>
      </c>
      <c r="G103" t="s">
        <v>197</v>
      </c>
      <c r="H103" s="14" t="s">
        <v>161</v>
      </c>
      <c r="I103" t="str">
        <f t="shared" si="1"/>
        <v>(2026, '2026-01-02', 'Ханты-Мансийский автономный округ-Югра', e'Сергинский 18',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D1 - 17,5 млн т
D2 - 0,6 млн т
газ (извл.)
D1 - 0,5 млрд м3
D2 - 1,2 млрд м3', '{"oil": {"D1": [17.5, "млн т"], "D2": [0.6, "млн т"]}, "gas": {"D1": [0.5, "млрд м3"], "D2": [1.2, "млрд м3"]}}'),</v>
      </c>
    </row>
    <row r="104" spans="1:9" ht="76.5">
      <c r="A104" s="28">
        <v>102</v>
      </c>
      <c r="B104" s="28" t="s">
        <v>124</v>
      </c>
      <c r="C104" s="28" t="s">
        <v>159</v>
      </c>
      <c r="D104" s="28" t="s">
        <v>160</v>
      </c>
      <c r="E104" t="e" cm="1">
        <f t="array" aca="1" ref="E104" ca="1">_xlfn._xlws.PY(6,1,D104)</f>
        <v>#NAME?</v>
      </c>
      <c r="F104" t="s">
        <v>196</v>
      </c>
      <c r="G104" t="s">
        <v>197</v>
      </c>
      <c r="H104" s="14" t="s">
        <v>161</v>
      </c>
      <c r="I104" t="str">
        <f t="shared" si="1"/>
        <v>(2026, '2026-01-02', 'Ханты-Мансийский автономный округ-Югра', e'Терпеевский 1',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D1 - 8,6 млн т
D2 - 0,4 млн т
газ
D1 - 0,3 млрд м3
D2 - 0,6 млрд м3', '{"oil": {"D1": [8.6, "млн т"], "D2": [0.4, "млн т"]}, "gas": {"D1": [0.3, "млрд м3"], "D2": [0.6, "млрд м3"]}}'),</v>
      </c>
    </row>
    <row r="105" spans="1:9" ht="89.25">
      <c r="A105" s="28">
        <v>103</v>
      </c>
      <c r="B105" s="28" t="s">
        <v>124</v>
      </c>
      <c r="C105" s="28" t="s">
        <v>293</v>
      </c>
      <c r="D105" s="28" t="s">
        <v>294</v>
      </c>
      <c r="E105" t="e" cm="1">
        <f t="array" aca="1" ref="E105" ca="1">_xlfn._xlws.PY(6,1,D105)</f>
        <v>#NAME?</v>
      </c>
      <c r="F105" t="s">
        <v>398</v>
      </c>
      <c r="G105" t="s">
        <v>197</v>
      </c>
      <c r="H105" s="14" t="s">
        <v>161</v>
      </c>
      <c r="I105" t="str">
        <f t="shared" si="1"/>
        <v>(2026, '2026-01-02', 'Ханты-Мансийский автономный округ-Югра', e'Токушинский',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Д0 - 8,563 млн.т.
Д1 - 2,3 млн.т.
Д2 - 0,6 млн.т.
газ
Д1 - 2,5 млрд.м3
Д2 - 0,4 млрд.м3', '{"oil": {"D0": [8.563, "млнт"], "D1": [2.3, "млнт"], "D2": [0.6, "млнт"]}, "gas": {"D1": [2.5, "млрдм3"], "D2": [0.4, "млрдм3"]}}'),</v>
      </c>
    </row>
    <row r="106" spans="1:9" ht="63.75">
      <c r="A106" s="28">
        <v>104</v>
      </c>
      <c r="B106" s="28" t="s">
        <v>124</v>
      </c>
      <c r="C106" s="28" t="s">
        <v>295</v>
      </c>
      <c r="D106" s="28" t="s">
        <v>296</v>
      </c>
      <c r="E106" t="e" cm="1">
        <f t="array" aca="1" ref="E106" ca="1">_xlfn._xlws.PY(6,1,D106)</f>
        <v>#NAME?</v>
      </c>
      <c r="F106" t="s">
        <v>399</v>
      </c>
      <c r="G106" t="s">
        <v>197</v>
      </c>
      <c r="H106" s="14" t="s">
        <v>161</v>
      </c>
      <c r="I106" t="str">
        <f t="shared" si="1"/>
        <v>(2026, '2026-01-02', 'Ханты-Мансийский автономный округ-Югра', e'Шаймский 3',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Д0 - 1.127 млн.т.
Д1 - 0.597 млн.т.
Д1 - 0.4 млн.т.
Д2 - 0.2 млн.т.', '{"oil": {"D0": [1.127, "млнт"], "D1": [0.4, "млнт"], "D2": [0.2, "млнт"]}}'),</v>
      </c>
    </row>
    <row r="107" spans="1:9" ht="102">
      <c r="A107" s="28">
        <v>105</v>
      </c>
      <c r="B107" s="28" t="s">
        <v>124</v>
      </c>
      <c r="C107" s="28" t="s">
        <v>297</v>
      </c>
      <c r="D107" s="28" t="s">
        <v>298</v>
      </c>
      <c r="E107" t="e" cm="1">
        <f t="array" aca="1" ref="E107" ca="1">_xlfn._xlws.PY(6,1,D107)</f>
        <v>#NAME?</v>
      </c>
      <c r="F107" t="s">
        <v>400</v>
      </c>
      <c r="G107" t="s">
        <v>197</v>
      </c>
      <c r="H107" s="14" t="s">
        <v>161</v>
      </c>
      <c r="I107" t="str">
        <f t="shared" si="1"/>
        <v>(2026, '2026-01-02', 'Ханты-Мансийский автономный округ-Югра', e'Шебурский',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Д0 - 1,080 млн.т.
Д1 - 0,5 млн.т.
Д1 - 1,0 млн.т.
Д2 - 0,3 млн.т.
газ
Д1 - 0,3 млрд.м3
Д2 - 0,8 млрд.м3', '{"oil": {"D0": [1.08, "млнт"], "D1": [1.0, "млнт"], "D2": [0.3, "млнт"]}, "gas": {"D1": [0.3, "млрдм3"], "D2": [0.8, "млрдм3"]}}'),</v>
      </c>
    </row>
    <row r="108" spans="1:9" ht="89.25">
      <c r="A108" s="28">
        <v>106</v>
      </c>
      <c r="B108" s="28" t="s">
        <v>124</v>
      </c>
      <c r="C108" s="28" t="s">
        <v>299</v>
      </c>
      <c r="D108" s="28" t="s">
        <v>300</v>
      </c>
      <c r="E108" t="e" cm="1">
        <f t="array" aca="1" ref="E108" ca="1">_xlfn._xlws.PY(6,1,D108)</f>
        <v>#NAME?</v>
      </c>
      <c r="F108" t="s">
        <v>401</v>
      </c>
      <c r="G108" t="s">
        <v>197</v>
      </c>
      <c r="H108" s="14" t="s">
        <v>161</v>
      </c>
      <c r="I108" t="str">
        <f t="shared" si="1"/>
        <v>(2026, '2026-01-02', 'Ханты-Мансийский автономный округ-Югра', e'Шугурский',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Д0 - 0,665 млн.т.
Д1 - 1,2 млн.т.
Д2 - 0,3 млн.т.
газ
Д1 - 0,2 млрд.м3
Д2 - 0,6 млрд.м3', '{"oil": {"D0": [0.665, "млнт"], "D1": [1.2, "млнт"], "D2": [0.3, "млнт"]}, "gas": {"D1": [0.2, "млрдм3"], "D2": [0.6, "млрдм3"]}}'),</v>
      </c>
    </row>
    <row r="109" spans="1:9" ht="102">
      <c r="A109" s="28">
        <v>107</v>
      </c>
      <c r="B109" s="28" t="s">
        <v>124</v>
      </c>
      <c r="C109" s="28" t="s">
        <v>301</v>
      </c>
      <c r="D109" s="28" t="s">
        <v>302</v>
      </c>
      <c r="E109" t="e" cm="1">
        <f t="array" aca="1" ref="E109" ca="1">_xlfn._xlws.PY(6,1,D109)</f>
        <v>#NAME?</v>
      </c>
      <c r="F109" t="s">
        <v>402</v>
      </c>
      <c r="G109" t="s">
        <v>197</v>
      </c>
      <c r="H109" s="14" t="s">
        <v>161</v>
      </c>
      <c r="I109" t="str">
        <f t="shared" si="1"/>
        <v>(2026, '2026-01-02', 'Ханты-Мансийский автономный округ-Югра', e'Южно-Айтульский',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Д0 - 3,760 млн.т.
Д1 - 5,786 млн.т.
Д2 - 10,0 млн.т.
Д2 - 0,7 млн.т.
газ (извл.):
Д1 - 5,0 млрд.м3.
Д2 - 3,9 млрд.м3.', '{"oil": {"D0": [3.76, "млнт"], "D1": [5.786, "млнт"], "D2": [0.7, "млнт"]}, "gas": {"D1": [5.0, "млрдм3"], "D2": [3.9, "млрдм3"]}}'),</v>
      </c>
    </row>
    <row r="110" spans="1:9" ht="76.5">
      <c r="A110" s="28">
        <v>108</v>
      </c>
      <c r="B110" s="28" t="s">
        <v>124</v>
      </c>
      <c r="C110" s="28" t="s">
        <v>303</v>
      </c>
      <c r="D110" s="28" t="s">
        <v>304</v>
      </c>
      <c r="E110" t="e" cm="1">
        <f t="array" aca="1" ref="E110" ca="1">_xlfn._xlws.PY(6,1,D110)</f>
        <v>#NAME?</v>
      </c>
      <c r="F110" t="s">
        <v>403</v>
      </c>
      <c r="G110" t="s">
        <v>197</v>
      </c>
      <c r="H110" s="14" t="s">
        <v>161</v>
      </c>
      <c r="I110" t="str">
        <f t="shared" si="1"/>
        <v>(2026, '2026-01-02', 'Ханты-Мансийский автономный округ-Югра', e'Южно-Серинский',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Д1 - 11.5 млн.т.
Д2 - 0.4 млн.т.
газ
Д1 - 0.4 млрд.м3
Д2 - 0.8 млрд.м3', '{"oil": {"D1": [11.5, "млнт"], "D2": [0.4, "млнт"]}, "gas": {"D1": [0.4, "млрдм3"], "D2": [0.8, "млрдм3"]}}'),</v>
      </c>
    </row>
    <row r="111" spans="1:9" ht="38.25">
      <c r="A111" s="28">
        <v>109</v>
      </c>
      <c r="B111" s="28" t="s">
        <v>124</v>
      </c>
      <c r="C111" s="28" t="s">
        <v>305</v>
      </c>
      <c r="D111" s="28" t="s">
        <v>306</v>
      </c>
      <c r="E111" t="e" cm="1">
        <f t="array" aca="1" ref="E111" ca="1">_xlfn._xlws.PY(6,1,D111)</f>
        <v>#NAME?</v>
      </c>
      <c r="F111" t="s">
        <v>404</v>
      </c>
      <c r="G111" t="s">
        <v>197</v>
      </c>
      <c r="H111" s="14" t="s">
        <v>161</v>
      </c>
      <c r="I111" t="str">
        <f t="shared" si="1"/>
        <v>(2026, '2026-01-02', 'Ханты-Мансийский автономный округ-Югра', e'Южно-Ташинский',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Д1 - 11.6 млн.т.
Д2 - 0.6 млн.т.', '{"oil": {"D1": [11.6, "млнт"], "D2": [0.6, "млнт"]}}'),</v>
      </c>
    </row>
    <row r="112" spans="1:9" ht="51">
      <c r="A112" s="28">
        <v>110</v>
      </c>
      <c r="B112" s="28" t="s">
        <v>124</v>
      </c>
      <c r="C112" s="28" t="s">
        <v>307</v>
      </c>
      <c r="D112" s="28" t="s">
        <v>308</v>
      </c>
      <c r="E112" t="e" cm="1">
        <f t="array" aca="1" ref="E112" ca="1">_xlfn._xlws.PY(6,1,D112)</f>
        <v>#NAME?</v>
      </c>
      <c r="F112" t="s">
        <v>405</v>
      </c>
      <c r="G112" t="s">
        <v>197</v>
      </c>
      <c r="H112" s="14" t="s">
        <v>161</v>
      </c>
      <c r="I112" t="str">
        <f t="shared" si="1"/>
        <v>(2026, '2026-01-02', 'Ханты-Мансийский автономный округ-Югра', e'Южно-Урманный',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
Д0 - 1.625 млн.т.
Д1 - 1.4 млн.т
Д2 - 0.1 млн.т', '{"oil": {"D0": [1.625, "млнт"], "D1": [1.4, "млнт"], "D2": [0.1, "млнт"]}}'),</v>
      </c>
    </row>
    <row r="113" spans="1:9" ht="63.75">
      <c r="A113" s="28">
        <v>111</v>
      </c>
      <c r="B113" s="28" t="s">
        <v>124</v>
      </c>
      <c r="C113" s="28" t="s">
        <v>309</v>
      </c>
      <c r="D113" s="28" t="s">
        <v>310</v>
      </c>
      <c r="E113" t="e" cm="1">
        <f t="array" aca="1" ref="E113" ca="1">_xlfn._xlws.PY(6,1,D113)</f>
        <v>#NAME?</v>
      </c>
      <c r="F113" t="s">
        <v>406</v>
      </c>
      <c r="G113" t="s">
        <v>197</v>
      </c>
      <c r="H113" s="14" t="s">
        <v>161</v>
      </c>
      <c r="I113" t="str">
        <f t="shared" si="1"/>
        <v>(2026, '2026-01-02', 'Ханты-Мансийский автономный округ-Югра', e'Южно-Ялотский',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Д1 - 16,1 млн. т
Д2 - 0,9 млн. т
газ (изв.):
Д2 - 1,1 млрд. м3', '{"oil": {"D1": [16.1, "млн т"], "D2": [0.9, "млн т"]}, "gas": {"D2": [1.1, "млрд м3"]}}'),</v>
      </c>
    </row>
    <row r="114" spans="1:9" ht="63.75">
      <c r="A114" s="28">
        <v>112</v>
      </c>
      <c r="B114" s="28" t="s">
        <v>124</v>
      </c>
      <c r="C114" s="28" t="s">
        <v>311</v>
      </c>
      <c r="D114" s="28" t="s">
        <v>312</v>
      </c>
      <c r="E114" t="e" cm="1">
        <f t="array" aca="1" ref="E114" ca="1">_xlfn._xlws.PY(6,1,D114)</f>
        <v>#NAME?</v>
      </c>
      <c r="F114" t="s">
        <v>407</v>
      </c>
      <c r="G114" t="s">
        <v>197</v>
      </c>
      <c r="H114" s="14" t="s">
        <v>161</v>
      </c>
      <c r="I114" t="str">
        <f t="shared" si="1"/>
        <v>(2026, '2026-01-02', 'Ханты-Мансийский автономный округ-Югра', e'Юильский 6', 'Прогнозный перечень участков недр углеводородного сырья, аукционы по которым планируется провести в 2026 году', e'https://rosnedra.gov.ru/activity/informatsionnye-resursy-i-programmy/prognoznyy-perechen-uchastkov-nedr-uglevodorodnogo-syrya-auktsiony-po-kotorym-planiruetsya-provesti-202602/', e'нефть (извл.):
Д1 - 1,2 млн. т
Д2 - 3,2 млн. т
газ (извл.):
Д2 - 3,0 млрд. м3', '{"oil": {"D1": [1.2, "млн т"], "D2": [3.2, "млн т"]}, "gas": {"D2": [3.0, "млрд м3"]}}'),</v>
      </c>
    </row>
    <row r="115" spans="1:9" ht="63.75">
      <c r="A115" s="28">
        <v>113</v>
      </c>
      <c r="B115" s="28" t="s">
        <v>124</v>
      </c>
      <c r="C115" s="28" t="s">
        <v>313</v>
      </c>
      <c r="D115" s="28" t="s">
        <v>314</v>
      </c>
      <c r="F115" t="s">
        <v>408</v>
      </c>
    </row>
    <row r="116" spans="1:9" ht="63.75">
      <c r="A116" s="28">
        <v>114</v>
      </c>
      <c r="B116" s="28" t="s">
        <v>124</v>
      </c>
      <c r="C116" s="28" t="s">
        <v>315</v>
      </c>
      <c r="D116" s="28" t="s">
        <v>316</v>
      </c>
      <c r="F116" t="s">
        <v>409</v>
      </c>
    </row>
    <row r="117" spans="1:9" ht="63.75">
      <c r="A117" s="28">
        <v>115</v>
      </c>
      <c r="B117" s="28" t="s">
        <v>124</v>
      </c>
      <c r="C117" s="28" t="s">
        <v>317</v>
      </c>
      <c r="D117" s="28" t="s">
        <v>318</v>
      </c>
      <c r="F117" t="s">
        <v>409</v>
      </c>
    </row>
    <row r="118" spans="1:9" ht="63.75">
      <c r="A118" s="28">
        <v>116</v>
      </c>
      <c r="B118" s="28" t="s">
        <v>124</v>
      </c>
      <c r="C118" s="28" t="s">
        <v>319</v>
      </c>
      <c r="D118" s="28" t="s">
        <v>320</v>
      </c>
      <c r="F118" t="s">
        <v>410</v>
      </c>
    </row>
    <row r="119" spans="1:9" ht="38.25">
      <c r="A119" s="28">
        <v>117</v>
      </c>
      <c r="B119" s="28" t="s">
        <v>321</v>
      </c>
      <c r="C119" s="28" t="s">
        <v>322</v>
      </c>
      <c r="D119" s="28" t="s">
        <v>323</v>
      </c>
      <c r="F119" t="s">
        <v>411</v>
      </c>
    </row>
    <row r="120" spans="1:9" ht="38.25">
      <c r="A120" s="28">
        <v>118</v>
      </c>
      <c r="B120" s="28" t="s">
        <v>321</v>
      </c>
      <c r="C120" s="28" t="s">
        <v>324</v>
      </c>
      <c r="D120" s="28" t="s">
        <v>325</v>
      </c>
      <c r="F120" t="s">
        <v>412</v>
      </c>
    </row>
    <row r="121" spans="1:9" ht="38.25">
      <c r="A121" s="28">
        <v>119</v>
      </c>
      <c r="B121" s="28" t="s">
        <v>102</v>
      </c>
      <c r="C121" s="28" t="s">
        <v>326</v>
      </c>
      <c r="D121" s="28" t="s">
        <v>327</v>
      </c>
      <c r="F121" t="s">
        <v>413</v>
      </c>
    </row>
    <row r="122" spans="1:9" ht="89.25">
      <c r="A122" s="28">
        <v>120</v>
      </c>
      <c r="B122" s="28" t="s">
        <v>102</v>
      </c>
      <c r="C122" s="28" t="s">
        <v>328</v>
      </c>
      <c r="D122" s="28" t="s">
        <v>329</v>
      </c>
      <c r="F122" t="s">
        <v>414</v>
      </c>
    </row>
    <row r="123" spans="1:9" ht="51">
      <c r="A123" s="28">
        <v>121</v>
      </c>
      <c r="B123" s="28" t="s">
        <v>102</v>
      </c>
      <c r="C123" s="28" t="s">
        <v>330</v>
      </c>
      <c r="D123" s="28" t="s">
        <v>331</v>
      </c>
      <c r="F123" t="s">
        <v>415</v>
      </c>
    </row>
    <row r="124" spans="1:9" ht="76.5">
      <c r="A124" s="28">
        <v>122</v>
      </c>
      <c r="B124" s="28" t="s">
        <v>102</v>
      </c>
      <c r="C124" s="28" t="s">
        <v>332</v>
      </c>
      <c r="D124" s="28" t="s">
        <v>333</v>
      </c>
      <c r="F124" t="s">
        <v>416</v>
      </c>
    </row>
    <row r="125" spans="1:9" ht="63.75">
      <c r="A125" s="28">
        <v>123</v>
      </c>
      <c r="B125" s="28" t="s">
        <v>102</v>
      </c>
      <c r="C125" s="28" t="s">
        <v>334</v>
      </c>
      <c r="D125" s="28" t="s">
        <v>335</v>
      </c>
      <c r="F125" t="s">
        <v>417</v>
      </c>
    </row>
  </sheetData>
  <hyperlinks>
    <hyperlink ref="H3" r:id="rId1"/>
    <hyperlink ref="H4:H114" r:id="rId2" display="https://rosnedra.gov.ru/activity/informatsionnye-resursy-i-programmy/prognoznyy-perechen-uchastkov-nedr-uglevodorodnogo-syrya-auktsiony-po-kotorym-planiruetsya-provesti-202602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Get Started with Python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Осокин Степан Артемович</cp:lastModifiedBy>
  <dcterms:modified xsi:type="dcterms:W3CDTF">2026-05-25T08:53:07Z</dcterms:modified>
</cp:coreProperties>
</file>